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Đồ án 4\DoAn4\docs\"/>
    </mc:Choice>
  </mc:AlternateContent>
  <xr:revisionPtr revIDLastSave="0" documentId="13_ncr:1_{7982BA10-64AA-467E-BCEE-F63C31FC8549}" xr6:coauthVersionLast="47" xr6:coauthVersionMax="47" xr10:uidLastSave="{00000000-0000-0000-0000-000000000000}"/>
  <bookViews>
    <workbookView xWindow="-108" yWindow="-108" windowWidth="23256" windowHeight="12576" activeTab="3" xr2:uid="{00000000-000D-0000-FFFF-FFFF00000000}"/>
  </bookViews>
  <sheets>
    <sheet name="TimKiem" sheetId="1" r:id="rId1"/>
    <sheet name="BinhLuan" sheetId="2" r:id="rId2"/>
    <sheet name="DatHangNhanh" sheetId="3" r:id="rId3"/>
    <sheet name="MuaHang" sheetId="4" r:id="rId4"/>
  </sheets>
  <externalReferences>
    <externalReference r:id="rId5"/>
  </externalReferences>
  <definedNames>
    <definedName name="ACTION">#REF!</definedName>
    <definedName name="ACTION_1">#REF!</definedName>
    <definedName name="Excel_BuiltIn__FilterDatabase">#REF!</definedName>
    <definedName name="Excel_BuiltIn__FilterDatabase_1">#REF!</definedName>
    <definedName name="OLE_LINK31">'[1]Home page'!#REF!</definedName>
    <definedName name="OLE_LINK41">'[1]Home page'!#REF!</definedName>
    <definedName name="OLE_LINK43">'[1]Home page'!#REF!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 i="4" l="1"/>
  <c r="A27" i="4"/>
  <c r="A26" i="4"/>
  <c r="A25" i="4"/>
  <c r="A24" i="4"/>
  <c r="A23" i="4"/>
  <c r="A22" i="4"/>
  <c r="A21" i="4"/>
  <c r="A20" i="4"/>
  <c r="A19" i="4"/>
  <c r="A18" i="4"/>
  <c r="A17" i="4"/>
  <c r="A16" i="4"/>
  <c r="A15" i="4"/>
  <c r="A14" i="4"/>
  <c r="A13" i="4"/>
  <c r="A12" i="4"/>
  <c r="A11" i="4"/>
  <c r="A10" i="4"/>
  <c r="A9" i="4"/>
  <c r="A8" i="4"/>
  <c r="A7" i="4"/>
  <c r="A6" i="4"/>
  <c r="A5" i="4"/>
  <c r="F2" i="4"/>
  <c r="E2" i="4"/>
  <c r="D2" i="4"/>
  <c r="F1" i="4"/>
  <c r="E1" i="4"/>
  <c r="D1" i="4"/>
  <c r="A15" i="3"/>
  <c r="A14" i="3"/>
  <c r="A13" i="3"/>
  <c r="A12" i="3"/>
  <c r="A11" i="3"/>
  <c r="A10" i="3"/>
  <c r="A9" i="3"/>
  <c r="A8" i="3"/>
  <c r="A7" i="3"/>
  <c r="A6" i="3"/>
  <c r="A5" i="3"/>
  <c r="F2" i="3"/>
  <c r="E2" i="3"/>
  <c r="D2" i="3"/>
  <c r="F1" i="3"/>
  <c r="E1" i="3"/>
  <c r="D1" i="3"/>
  <c r="A17" i="2"/>
  <c r="A16" i="2"/>
  <c r="A15" i="2"/>
  <c r="A14" i="2"/>
  <c r="A13" i="2"/>
  <c r="A12" i="2"/>
  <c r="A11" i="2"/>
  <c r="A10" i="2"/>
  <c r="A9" i="2"/>
  <c r="A8" i="2"/>
  <c r="A7" i="2"/>
  <c r="A6" i="2"/>
  <c r="A5" i="2"/>
  <c r="F2" i="2"/>
  <c r="E2" i="2"/>
  <c r="D2" i="2"/>
  <c r="F1" i="2"/>
  <c r="E1" i="2"/>
  <c r="D1" i="2"/>
  <c r="A14" i="1"/>
  <c r="A13" i="1"/>
  <c r="A12" i="1"/>
  <c r="A11" i="1"/>
  <c r="A10" i="1"/>
  <c r="A9" i="1"/>
  <c r="A8" i="1"/>
  <c r="A7" i="1"/>
  <c r="A6" i="1"/>
  <c r="A5" i="1"/>
  <c r="F2" i="1"/>
  <c r="F1" i="1"/>
  <c r="E2" i="1"/>
  <c r="D2" i="1"/>
  <c r="E1" i="1"/>
  <c r="D1" i="1"/>
  <c r="D3" i="4" l="1"/>
  <c r="E3" i="4"/>
  <c r="F3" i="4"/>
  <c r="F3" i="3"/>
  <c r="E3" i="3"/>
  <c r="D3" i="3"/>
  <c r="F3" i="2"/>
  <c r="D3" i="2"/>
  <c r="E3" i="2"/>
  <c r="F3" i="1"/>
  <c r="D3" i="1"/>
  <c r="E3" i="1"/>
</calcChain>
</file>

<file path=xl/sharedStrings.xml><?xml version="1.0" encoding="utf-8"?>
<sst xmlns="http://schemas.openxmlformats.org/spreadsheetml/2006/main" count="466" uniqueCount="164">
  <si>
    <t>Back to TestReport</t>
  </si>
  <si>
    <t>To Buglist</t>
  </si>
  <si>
    <t>Module Code</t>
  </si>
  <si>
    <t>Tester</t>
  </si>
  <si>
    <t>ID</t>
  </si>
  <si>
    <t>Test Case Description</t>
  </si>
  <si>
    <t>Pre -Condition</t>
  </si>
  <si>
    <t>Test Case Procedure</t>
  </si>
  <si>
    <t>Expected Output</t>
  </si>
  <si>
    <t>Test date</t>
  </si>
  <si>
    <t>Note</t>
  </si>
  <si>
    <t>Status</t>
  </si>
  <si>
    <t>Actual Output</t>
  </si>
  <si>
    <t>Tìm kiếm</t>
  </si>
  <si>
    <t>Lê Thị Ánh</t>
  </si>
  <si>
    <t>Bỏ trống trường tìm kiếm</t>
  </si>
  <si>
    <t>Tên tìm kiếm viết in hoa</t>
  </si>
  <si>
    <t>Tên tìm kiếm có chứa ký tự đặc biệt</t>
  </si>
  <si>
    <t>Tên tìm kiếm chỉ có số</t>
  </si>
  <si>
    <t>Tên tìm kiếm gồm cả chữ cả số</t>
  </si>
  <si>
    <t>Tên tìm kiếm gồm nhiều từ viết liền không dấu</t>
  </si>
  <si>
    <t>Tên tìm kiếm gồm nhiều từ, giữa các từ có dấu cách</t>
  </si>
  <si>
    <t>Tên tìm kiếm có chứa khoảng trắng 2 đầu</t>
  </si>
  <si>
    <t>1. Truy cập vào trang web https://gaubongonline.vn/
2. Tại thanh tìm kiếm, nhập tên sản phẩm "gaubong"
3. Nhấn nút tìm kiếm</t>
  </si>
  <si>
    <t>PASS</t>
  </si>
  <si>
    <t>13/05/2025</t>
  </si>
  <si>
    <t>Người dùng truy cập vào trang web https://gaubongonline.vn/</t>
  </si>
  <si>
    <t>1. Truy cập vào trang web https://gaubongonline.vn/
2. Tại thanh tìm kiếm, bỏ trống không nhập
3. Nhấn nút tìm kiếm</t>
  </si>
  <si>
    <t>1. Truy cập vào trang web https://gaubongonline.vn/
2. Tại thanh tìm kiếm, nhập tên sản phẩm "DORAEMON"
3. Nhấn nút tìm kiếm</t>
  </si>
  <si>
    <t>1. Truy cập vào trang web https://gaubongonline.vn/
2. Tại thanh tìm kiếm, nhập tên sản phẩm "doraemon#"
3. Nhấn nút tìm kiếm</t>
  </si>
  <si>
    <t>1. Truy cập vào trang web https://gaubongonline.vn/
2. Tại thanh tìm kiếm, nhập tên sản phẩm "23"
3. Nhấn nút tìm kiếm</t>
  </si>
  <si>
    <t>1. Truy cập vào trang web https://gaubongonline.vn/
2. Tại thanh tìm kiếm, nhập tên sản phẩm "mèo 2"
3. Nhấn nút tìm kiếm</t>
  </si>
  <si>
    <t>1. Truy cập vào trang web https://gaubongonline.vn/
2. Tại thanh tìm kiếm, nhập tên sản phẩm "mèo ú"
3. Nhấn nút tìm kiếm</t>
  </si>
  <si>
    <t>Tên tìm kiếm chỉ có ký tự đặc biệt</t>
  </si>
  <si>
    <t>1. Truy cập vào trang web https://gaubongonline.vn/
2. Tại thanh tìm kiếm, nhập tên sản phẩm "#$%^"
3. Nhấn nút tìm kiếm</t>
  </si>
  <si>
    <t>1. Hệ thống hiển thị trang chủ
2. Hiển thị gợi ý những tên đã từng được người dùng tìm kiếm
3. Hệ thống hiển thị dòng text ở đầu "Không tìm thấy sản phẩm nào khớp với lựa chọn của bạn."</t>
  </si>
  <si>
    <t>1. Hệ thống hiển thị trang chủ
2. Hiển thị gợi ý những tên đã từng được người dùng tìm kiếm
3. Hệ thống hiển thị những sản phẩm có tên hoặc liên quan đến tên sản phẩm tìm kiếm, đầu thời có dòng text ở đầu "Hiển thị 1 - 16 của ... kết quả" hoặc "Hiển thị ... kết quả"</t>
  </si>
  <si>
    <t>1. Truy cập vào trang web https://gaubongonline.vn/
2. Tại thanh tìm kiếm, nhập tên sản phẩm "bonghoa"
3. Nhấn nút tìm kiếm</t>
  </si>
  <si>
    <t>1. Hệ thống hiển thị trang chủ
2. Hiển thị gợi ý những tên đã từng được người dùng tìm kiếm
3. Hệ thống hiển thị những sản phẩm có tên hoặc liên quan đến tên sản phẩm tìm kiếm, đầu phần thân có dòng text ở đầu "Hiển thị 1 - 16 của ... kết quả" hoặc "Hiển thị ... kết quả"</t>
  </si>
  <si>
    <t>Tên tìm kiếm có cả chữ, số và ký tự đặc biệt</t>
  </si>
  <si>
    <t>1. Truy cập vào trang web https://gaubongonline.vn/
2. Tại thanh tìm kiếm, nhập tên sản phẩm "conan 24 ^%#"
3. Nhấn nút tìm kiếm</t>
  </si>
  <si>
    <t>Bình luận</t>
  </si>
  <si>
    <t>Thông tin nhập hợp lệ</t>
  </si>
  <si>
    <t>Số điện thoại dưới 10 số</t>
  </si>
  <si>
    <t>Số điện thoại trên 10 số</t>
  </si>
  <si>
    <t>Số điện thoại không bắt đầu bằng số 0</t>
  </si>
  <si>
    <t>Số điện thoại chứa cả chữ, số, ký tự đặc biệt</t>
  </si>
  <si>
    <t>Số điện thoại bỏ trống</t>
  </si>
  <si>
    <t>Tên chỉ chứa ký tự đặc biệt</t>
  </si>
  <si>
    <t>Tên bỏ trống</t>
  </si>
  <si>
    <t>Tên chỉ có số</t>
  </si>
  <si>
    <t>Bỏ trống cả bình luận và tên</t>
  </si>
  <si>
    <t>Bỏ trống cả tên và số điện thoại</t>
  </si>
  <si>
    <t>Bỏ trống tất cả các trường thông tin</t>
  </si>
  <si>
    <t>Bỏ trống bình luận</t>
  </si>
  <si>
    <t>1. Truy cập vào trang web https://gaubongonline.vn/
2. Chọn một sản phẩm bất kỳ trong trang chủ
3. Nhập bình luận "gấu rất đẹp"
4. Nhập họ tên "ngọc hà"
5. Nhấp số điện thoại "0927856143"
6. Nhấn nút Gửi bình luận</t>
  </si>
  <si>
    <t>1. Hệ thống hiển thị trang chủ
2. Hiển thị thông tin của sản phẩm được chọn
6. Hiển thị hộp thông báo "Gửi bình luận thành công"</t>
  </si>
  <si>
    <t>1. Truy cập vào trang web https://gaubongonline.vn/
2. Chọn một sản phẩm bất kỳ trong trang chủ
3. Nhập bình luận "gấu rất cute"
4. Nhập họ tên "abc"
5. Nhấp số điện thoại "01928376"
6. Nhấn nút Gửi bình luận</t>
  </si>
  <si>
    <t>1. Truy cập vào trang web https://gaubongonline.vn/
2. Chọn một sản phẩm bất kỳ trong trang chủ
3. Nhập bình luận "nhìn cưng quá trời"
4. Nhập họ tên "thu hà"
5. Nhấp số điện thoại "098712364532"
6. Nhấn nút Gửi bình luận</t>
  </si>
  <si>
    <t>1. Truy cập vào trang web https://gaubongonline.vn/
2. Chọn một sản phẩm bất kỳ trong trang chủ
3. Nhập bình luận "gấu đep quá trời"
4. Nhập họ tên "nguyệt"
5. Nhấp số điện thoại "1293876450"
6. Nhấn nút Gửi bình luận</t>
  </si>
  <si>
    <t>1. Truy cập vào trang web https://gaubongonline.vn/
2. Chọn một sản phẩm bất kỳ trong trang chủ
3. Nhập bình luận "mình từng mua ở shop rồi uy tín nhé"
4. Nhập họ tên "#$%^"
5. Nhấp số điện thoại "0981237645"
6. Nhấn nút Gửi bình luận</t>
  </si>
  <si>
    <t>1. Truy cập vào trang web https://gaubongonline.vn/
2. Chọn một sản phẩm bất kỳ trong trang chủ
3. Nhập bình luận "đẹp quá shop ơi"
4. Bỏ trống họ tên
5. Nhấp số điện thoại "0981237645"
6. Nhấn nút Gửi bình luận</t>
  </si>
  <si>
    <t>1. Truy cập vào trang web https://gaubongonline.vn/
2. Chọn một sản phẩm bất kỳ trong trang chủ
3. Nhập bình luận "đẹp"
4. Nhập họ tên "123"
5. Nhấp số điện thoại "0981237645"
6. Nhấn nút Gửi bình luận</t>
  </si>
  <si>
    <t>1. Truy cập vào trang web https://gaubongonline.vn/
2. Chọn một sản phẩm bất kỳ trong trang chủ
3. Bỏ trống bình luận
4. Bỏ trống họ tên
5. Nhấp số điện thoại "0981237645"
6. Nhấn nút Gửi bình luận</t>
  </si>
  <si>
    <t>1. Truy cập vào trang web https://gaubongonline.vn/
2. Chọn một sản phẩm bất kỳ trong trang chủ
3. Nhập bình luận "đẹp xỉu"
4. Bỏ trống họ tên
5. Bỏ trống số điện thoại
6. Nhấn nút Gửi bình luận</t>
  </si>
  <si>
    <t>1. Truy cập vào trang web https://gaubongonline.vn/
2. Chọn một sản phẩm bất kỳ trong trang chủ
3. Nhấn nút Gửi bình luận</t>
  </si>
  <si>
    <t>1. Truy cập vào trang web https://gaubongonline.vn/
2. Chọn một sản phẩm bất kỳ trong trang chủ
3. Bỏ trống bình luận
4. Nhập họ tên "chinh phạm"
5. Nhấp số điện thoại "0981237645"
6. Nhấn nút Gửi bình luận</t>
  </si>
  <si>
    <t>1. Hệ thống hiển thị trang chủ
2. Hiển thị thông tin của sản phẩm được chọn
6. Hiển thị hộp thông báo "Số điện thoại phải có ít nhất 10 số"</t>
  </si>
  <si>
    <t>1. Truy cập vào trang web https://gaubongonline.vn/
2. Chọn một sản phẩm bất kỳ trong trang chủ
3. Nhập bình luận "xinh xỉu"
4. Nhập họ tên "hien"
5. Nhấp số điện thoại "abc124%^&amp;"
6. Nhấn nút Gửi bình luận</t>
  </si>
  <si>
    <t>1. Hệ thống hiển thị trang chủ
2. Hiển thị thông tin của sản phẩm được chọn
6. Hiển thị hộp thông báo "Số điện thoại chỉ bao gồm những số"</t>
  </si>
  <si>
    <t>1. Truy cập vào trang web https://gaubongonline.vn/
2. Chọn một sản phẩm bất kỳ trong trang chủ
3. Nhập bình luận "gấu đẹp ghê"
4. Nhập họ tên "trang"
5. Bỏ trống số điện thoại 
6. Nhấn nút Gửi bình luận</t>
  </si>
  <si>
    <t>1. Hệ thống hiển thị trang chủ
2. Hiển thị thông tin của sản phẩm được chọn
6. Hiển thị hộp thông báo "Bạn chưa nhập số điện thoại"</t>
  </si>
  <si>
    <t>1. Hệ thống hiển thị trang chủ
2. Hiển thị thông tin của sản phẩm được chọn
6. Hiển thị hộp thông báo "Bạn chưa nhập bình luận"</t>
  </si>
  <si>
    <t>1. Hệ thống hiển thị trang chủ
2. Hiển thị thông tin của sản phẩm được chọn
6. Hiển thị hộp thông báo "Bạn chưa nhập tên"</t>
  </si>
  <si>
    <t>1. Hệ thống hiển thị trang chủ
2. Hiển thị thông tin của sản phẩm được chọn
3. Hiển thị hộp thông báo "Bạn chưa nhập bình luận"</t>
  </si>
  <si>
    <t>15/05/2025</t>
  </si>
  <si>
    <t>Đặt hàng nhanh</t>
  </si>
  <si>
    <t>Số điện thoại có 9 số</t>
  </si>
  <si>
    <t>Số điện thoại có 11 số</t>
  </si>
  <si>
    <t>Số điện thoại gồm cả chữ và số</t>
  </si>
  <si>
    <t>Số điện thoại có cả chữ và ký tự đặc biệt</t>
  </si>
  <si>
    <t>Số điện thoại chỉ gồm chữ</t>
  </si>
  <si>
    <t>Số điện thoại chỉ gồm ký tự đặc biệt</t>
  </si>
  <si>
    <t>Số điện thoại gồm cả chữ cả ký tự đặc biệt</t>
  </si>
  <si>
    <t>Số điện thoại gồm cả chữ, cả số và ký tự đặc biệt</t>
  </si>
  <si>
    <t>1. Truy cập vào trang web https://gaubongonline.vn/
2. Chọn một sản phẩm "Gấu bông cánh cụt cà tím" trong trang chủ
3. Nhấp số điện thoại "01283746"
4. Nhấn nút Gửi</t>
  </si>
  <si>
    <t>1. Hệ thống hiển thị trang chủ
2. Hiển thị thông tin của sản phẩm được chọn
3. Hiển thị thông tin vừa nhập tại trường số điện thoại
4. Hiển thị thông báo "Số điện thoại phải có ít nhất 10 số."</t>
  </si>
  <si>
    <t>16/06/2025</t>
  </si>
  <si>
    <t>1. Truy cập vào trang web https://gaubongonline.vn/
2. Chọn một sản phẩm "Gấu bông cánh cụt cà tím" trong trang chủ
3. Nhấp số điện thoại "0192883746572898290"
4. Nhấn nút Gửi</t>
  </si>
  <si>
    <t>1. Truy cập vào trang web https://gaubongonline.vn/
2. Chọn một sản phẩm "Gấu bông cánh cụt cà tím" trong trang chủ
3. Nhấp số điện thoại "012938475"
4. Nhấn nút Gửi</t>
  </si>
  <si>
    <t>1. Truy cập vào trang web https://gaubongonline.vn/
2. Chọn một sản phẩm "Gấu bông cánh cụt cà tím" trong trang chủ
3. Nhấp số điện thoại "09284765213"
4. Nhấn nút Gửi</t>
  </si>
  <si>
    <t>1. Truy cập vào trang web https://gaubongonline.vn/
2. Chọn một sản phẩm "Gấu bông cánh cụt cà tím" trong trang chủ
3. Bỏ trống trường số điện thoại
4. Nhấn nút Gửi</t>
  </si>
  <si>
    <t>1. Truy cập vào trang web https://gaubongonline.vn/
2. Chọn một sản phẩm "Gấu bông cánh cụt cà tím" trong trang chủ
3. Nhấp số điện thoại "01234abcdef"
4. Nhấn nút Gửi</t>
  </si>
  <si>
    <t>1. Truy cập vào trang web https://gaubongonline.vn/
2. Chọn một sản phẩm "Gấu bông cánh cụt cà tím" trong trang chủ
3. Nhấp số điện thoại "0123456#$%^"
4. Nhấn nút Gửi</t>
  </si>
  <si>
    <t>1. Truy cập vào trang web https://gaubongonline.vn/
2. Chọn một sản phẩm "Gấu bông cánh cụt cà tím" trong trang chủ
3. Nhấp số điện thoại "abxcdhrtfn"
4. Nhấn nút Gửi</t>
  </si>
  <si>
    <t>1. Truy cập vào trang web https://gaubongonline.vn/
2. Chọn một sản phẩm "Gấu bông cánh cụt cà tím" trong trang chủ
3. Nhấp số điện thoại "###%%%^^^%@"
4. Nhấn nút Gửi</t>
  </si>
  <si>
    <t>1. Truy cập vào trang web https://gaubongonline.vn/
2. Chọn một sản phẩm "Gấu bông cánh cụt cà tím" trong trang chủ
3. Nhấp số điện thoại "abcdef#$%^"
4. Nhấn nút Gửi</t>
  </si>
  <si>
    <t>1. Truy cập vào trang web https://gaubongonline.vn/
2. Chọn một sản phẩm "Gấu bông cánh cụt cà tím" trong trang chủ
3. Nhấp số điện thoại "0123abc$%^"
4. Nhấn nút Gửi</t>
  </si>
  <si>
    <t>1. Hệ thống hiển thị trang chủ
2. Hiển thị thông tin của sản phẩm được chọn
3. Hiển thị thông tin vừa nhập tại trường số điện thoại
4. Hiển thị thông báo "Cảm ơn bạn đã đặt hàng, vui lòng check lại đơn hàng trong messenger. Gấu Bông Online sẽ hoàn thiện thông tin và cập nhật hành trình đơn hàng cho bạn qua messenger nha!"</t>
  </si>
  <si>
    <t>1. Hệ thống hiển thị trang chủ
2. Hiển thị thông tin của sản phẩm được chọn
3. Hiển thị thông tin vừa nhập tại trường số điện thoại
4. Hiển thị thông báo "Bạn chưa nhập số điện thoại."</t>
  </si>
  <si>
    <t>1. Hệ thống hiển thị trang chủ
2. Hiển thị thông tin của sản phẩm được chọn
3. Hiển thị thông tin vừa nhập tại trường số điện thoại
4. Hiển thị thông báo "Số điện thoại chỉ bao gồm những số."</t>
  </si>
  <si>
    <t>Mua hàng</t>
  </si>
  <si>
    <t>Thông tin hợp lệ</t>
  </si>
  <si>
    <t>Tên chỉ có ký tự đặc biệt</t>
  </si>
  <si>
    <t>Số điện thoại gồm cả chữ cả số</t>
  </si>
  <si>
    <t>Số điện thoại gồm cả số cả ký tự đặc biệt</t>
  </si>
  <si>
    <t>Số điện thoại gồm cả chữ, số và ký tự đặc biệt</t>
  </si>
  <si>
    <t>Bỏ trống số điện thoại</t>
  </si>
  <si>
    <t>Địa chỉ gồm các ký tự không phải chữ</t>
  </si>
  <si>
    <t>Bỏ trống địa chỉ</t>
  </si>
  <si>
    <t>Bỏ trống yêu cầu thêm</t>
  </si>
  <si>
    <t>Bỏ trống cả tên và địa chỉ</t>
  </si>
  <si>
    <t>Bỏ trống cả tên và yêu cầu thêm</t>
  </si>
  <si>
    <t>Bỏ trống số điện thoại và địa chỉ</t>
  </si>
  <si>
    <t>Bỏ trống số điện thoại và yêu cầu thêm</t>
  </si>
  <si>
    <t>Bỏ trống địa chỉ và yêu cầu thêm</t>
  </si>
  <si>
    <t>Bỏ trống cả họ tên, số điện thoại và địa chỉ</t>
  </si>
  <si>
    <t>Bỏ trống cả họ tên, địa chỉ và yêu cầu thêm</t>
  </si>
  <si>
    <t>Bỏ trống cả họ tên, số điện thoại và yêu cầu thêm</t>
  </si>
  <si>
    <t>Bỏ trống cả số điện thoại, địa chỉ và yêu cầu thêm</t>
  </si>
  <si>
    <t>Bỏ trống họ tên</t>
  </si>
  <si>
    <t>18/06/2025</t>
  </si>
  <si>
    <t>1. Truy cập vào trang web https://gaubongonline.vn/
2. Chọn một sản phẩm "Cánh cụt đeo yếm" trong trang chủ
3. Nhấn nút mua hàng
4. Không nhập họ tên
5. Nhấp số điện thoại "0293847587"
6. Nhập địa chỉ "Hưng Yên"
7. Nhập yêu cầu "Hút chân không"
8. Nhấn nút Mua hàng</t>
  </si>
  <si>
    <t>1. Truy cập vào trang web https://gaubongonline.vn/
2. Chọn một sản phẩm "Cánh cụt đeo yếm" trong trang chủ
3. Nhấn nút mua hàng
4. Nhập họ tên "Linh"
5. Nhấp số điện thoại "0293847587"
6. Nhập địa chỉ "Hưng Yên"
7. Nhập yêu cầu "Hút chân không"
8. Nhấn nút Mua hàng</t>
  </si>
  <si>
    <t>1. Truy cập vào trang web https://gaubongonline.vn/
2. Chọn một sản phẩm "Cánh cụt đeo yếm" trong trang chủ
3. Nhấn nút mua hàng
4. Nhập họ tên "#$%"
5. Nhấp số điện thoại "0293847587"
6. Nhập địa chỉ "Hưng Yên"
7. Nhập yêu cầu "Hút chân không"
8. Nhấn nút Mua hàng</t>
  </si>
  <si>
    <t>1. Truy cập vào trang web https://gaubongonline.vn/
2. Chọn một sản phẩm "Cánh cụt đeo yếm" trong trang chủ
3. Nhấn nút mua hàng
4. Nhập họ tên "123"
5. Nhấp số điện thoại "0293847587"
6. Nhập địa chỉ "Hưng Yên"
7. Nhập yêu cầu "Hút chân không"
8. Nhấn nút Mua hàng</t>
  </si>
  <si>
    <t>1. Truy cập vào trang web https://gaubongonline.vn/
2. Chọn một sản phẩm "Cánh cụt đeo yếm" trong trang chủ
3. Nhấn nút mua hàng
4. Nhập họ tên "Linh"
5. Nhấp số điện thoại "019283745"
6. Nhập địa chỉ "Hải phòng"
7. Nhập yêu cầu "Hút chân không"
8. Nhấn nút Mua hàng</t>
  </si>
  <si>
    <t>1. Truy cập vào trang web https://gaubongonline.vn/
2. Chọn một sản phẩm "Cánh cụt đeo yếm" trong trang chủ
3. Nhấn nút mua hàng
4. Nhập họ tên "Hà"
5. Nhấp số điện thoại "0192837450392862547"
6. Nhập địa chỉ "Hải phòng"
7. Nhập yêu cầu "Hút chân không"
8. Nhấn nút Mua hàng</t>
  </si>
  <si>
    <t>1. Truy cập vào trang web https://gaubongonline.vn/
2. Chọn một sản phẩm "Cánh cụt đeo yếm" trong trang chủ
3. Nhấn nút mua hàng
4. Nhập họ tên "Ngọc"
5. Nhấp số điện thoại "019283abcdef"
6. Nhập địa chỉ "Hải phòng"
7. Nhập yêu cầu "Hút chân không"
8. Nhấn nút Mua hàng</t>
  </si>
  <si>
    <t>1. Truy cập vào trang web https://gaubongonline.vn/
2. Chọn một sản phẩm "Cánh cụt đeo yếm" trong trang chủ
3. Nhấn nút mua hàng
4. Nhập họ tên "Linh"
5. Nhấp số điện thoại "019283745$%^"
6. Nhập địa chỉ "Hải phòng"
7. Nhập yêu cầu "Hút chân không"
8. Nhấn nút Mua hàng</t>
  </si>
  <si>
    <t>1. Truy cập vào trang web https://gaubongonline.vn/
2. Chọn một sản phẩm "Cánh cụt đeo yếm" trong trang chủ
3. Nhấn nút mua hàng
4. Nhập họ tên "Linh"
5. Nhấp số điện thoại "0192837#$%abc"
6. Nhập địa chỉ "Hải phòng"
7. Nhập yêu cầu "Hút chân không"
8. Nhấn nút Mua hàng</t>
  </si>
  <si>
    <t>1. Truy cập vào trang web https://gaubongonline.vn/
2. Chọn một sản phẩm "Cánh cụt đeo yếm" trong trang chủ
3. Nhấn nút mua hàng
4. Nhập họ tên "Linh"
5. Không nhập số điện thoại
6. Nhập địa chỉ "Hải phòng"
7. Nhập yêu cầu "Hút chân không"
8. Nhấn nút Mua hàng</t>
  </si>
  <si>
    <t>1. Truy cập vào trang web https://gaubongonline.vn/
2. Chọn một sản phẩm "Cánh cụt đeo yếm" trong trang chủ
3. Nhấn nút mua hàng
4. Nhập họ tên "Linh"
5. Nhấp số điện thoại "0192837459"
6. Nhập địa chỉ "@#4"
7. Nhập yêu cầu "Hút chân không"
8. Nhấn nút Mua hàng</t>
  </si>
  <si>
    <t>1. Truy cập vào trang web https://gaubongonline.vn/
2. Chọn một sản phẩm "Cánh cụt đeo yếm" trong trang chủ
3. Nhấn nút mua hàng
4. Nhập họ tên "ngọc hà"
5. Nhấp số điện thoại "0192837459"
6. Không nhập địa chỉ
7. Nhập yêu cầu "Hút chân không"
8. Nhấn nút Mua hàng</t>
  </si>
  <si>
    <t>1. Truy cập vào trang web https://gaubongonline.vn/
2. Chọn một sản phẩm "Cánh cụt đeo yếm" trong trang chủ
3. Nhấn nút mua hàng
4. Nhập họ tên "ngọc hà"
5. Nhấp số điện thoại "0927856143"
6. Nhập địa chỉ "Hải phòng"
7. Không nhập yêu cầu thêm
8. Nhấn nút Mua hàng</t>
  </si>
  <si>
    <t>1. Truy cập vào trang web https://gaubongonline.vn/
2. Chọn một sản phẩm "Cánh cụt đeo yếm" trong trang chủ
3. Nhấn nút mua hàng
4. Không nhập họ tên
5. Không nhập số điện thoại
6. Nhập địa chỉ "Hải Phòng"
7. Nhập yêu cầu "Hút chân không"
8. Nhấn nút Mua hàng</t>
  </si>
  <si>
    <t>1. Truy cập vào trang web https://gaubongonline.vn/
2. Chọn một sản phẩm "Cánh cụt đeo yếm" trong trang chủ
3. Nhấn nút mua hàng
4. Không nhập họ tên
5. Nhấp số điện thoại "0192837459"
6. Không nhập địa chỉ
7. Nhập yêu cầu "Hút chân không"
8. Nhấn nút Mua hàng</t>
  </si>
  <si>
    <t>1. Truy cập vào trang web https://gaubongonline.vn/
2. Chọn một sản phẩm "Cánh cụt đeo yếm" trong trang chủ
3. Nhấn nút mua hàng
4. Không nhập họ tên
5. Nhấp số điện thoại "0192837459"
6. Nhập địa chỉ "Hải Phòng"
7. Không nhập yêu cầu thêm
8. Nhấn nút Mua hàng</t>
  </si>
  <si>
    <t>1. Truy cập vào trang web https://gaubongonline.vn/
2. Chọn một sản phẩm "Cánh cụt đeo yếm" trong trang chủ
3. Nhấn nút mua hàng
4. Nhập họ tên "Linh"
5. Không nhập số điện thoại
6. Không nhập địa chỉ 
7. Nhập yêu cầu "Hút chân không"
8. Nhấn nút Mua hàng</t>
  </si>
  <si>
    <t>1. Truy cập vào trang web https://gaubongonline.vn/
2. Chọn một sản phẩm "Cánh cụt đeo yếm" trong trang chủ
3. Nhấn nút mua hàng
4. Nhập họ tên "Linh"
5. Không nhập số điện thoại
6. Nhập địa chỉ "Hải Phòng"
7. Không nhập yêu cầu thêm
8. Nhấn nút Mua hàng</t>
  </si>
  <si>
    <t>1. Truy cập vào trang web https://gaubongonline.vn/
2. Chọn một sản phẩm "Cánh cụt đeo yếm" trong trang chủ
3. Nhấn nút mua hàng
4. Nhập họ tên "Linh"
5. Nhấp số điện thoại "0192837459"
6. Không nhập địa chỉ
7. Không nhập yêu cầu thêm
8. Nhấn nút Mua hàng</t>
  </si>
  <si>
    <t>1. Truy cập vào trang web https://gaubongonline.vn/
2. Chọn một sản phẩm "Cánh cụt đeo yếm" trong trang chủ
3. Nhấn nút mua hàng
4. Không nhập họ tên
5. Không nhập số điện thoại
6. Không nhập địa chỉ
7. Nhập yêu cầu "Hút chân không"
8. Nhấn nút Mua hàng</t>
  </si>
  <si>
    <t>1. Truy cập vào trang web https://gaubongonline.vn/
2. Chọn một sản phẩm "Cánh cụt đeo yếm" trong trang chủ
3. Nhấn nút mua hàng
4. Không nhập họ tên
5. Nhấp số điện thoại "0192837459"
6. Không nhập địa chỉ
7. Không nhập yru cầu thêm
8. Nhấn nút Mua hàng</t>
  </si>
  <si>
    <t>1. Truy cập vào trang web https://gaubongonline.vn/
2. Chọn một sản phẩm "Cánh cụt đeo yếm" trong trang chủ
3. Nhấn nút mua hàng
4. Không nhập họ tên
5. Không nhập số điện thoại
6. Nhập địa chỉ "Hải Phòng"
7. Không nhập yêu cầu thêm
8. Nhấn nút Mua hàng</t>
  </si>
  <si>
    <t>1. Truy cập vào trang web https://gaubongonline.vn/
2. Chọn một sản phẩm "Cánh cụt đeo yếm" trong trang chủ
3. Nhấn nút mua hàng
4. Nhập họ tên "Linh"
5. Không nhập số điện thoại
6. Không nhập địa chỉ
7. Không nhập yêu cầu thêm
8. Nhấn nút Mua hàng</t>
  </si>
  <si>
    <t>1. Truy cập vào trang web https://gaubongonline.vn/
2. Chọn một sản phẩm "Cánh cụt đeo yếm" trong trang chủ
3. Nhấn nút mua hàng
4. Không nhập họ tên
5. Không nhập số điện thoại
6. Không nhập địa chỉ
7. Không nhập yêu cầu thêm
8. Nhấn nút Mua hàng</t>
  </si>
  <si>
    <t>1. Hệ thống hiển thị trang chủ
2. Hiển thị thông tin của sản phẩm được chọn
3. Hiển thị pop up mua hàng
4. Hiển thị placeholder "Họ và tên người mua"
5. Hiển thị thông tin vừa nhập tại trường số điện thoại
6. Hiển thị thông tin vừa nhập tại trường địa chỉ
7. Hiển thị thông tin vừa nhập tại trường yêu cầu thêm
8. Hiển thị thông báo "Bạn chưa nhập họ và tên người mua"</t>
  </si>
  <si>
    <t>1. Hệ thống hiển thị trang chủ
2. Hiển thị thông tin của sản phẩm được chọn
3. Hiển thị pop up mua hàng
4. Hiển thị thông tin vừa nhập tại trường họ tên
5. Hiển thị thông tin vừa nhập tại trường số điện thoại
6. Hiển thị thông tin vừa nhập tại trường địa chỉ
7. Hiển thị thông tin vừa nhập tại trường yêu cầu thêm
8. Hiển thị thông báo "Cảm ơn bạn đã đặt hàng, vui lòng check lại đơn hàng trong messenger. Gấu Bông Online sẽ hoàn thiện thông tin và cập nhật hành trình đơn hàng cho bạn qua messenger nha"</t>
  </si>
  <si>
    <t>1. Hệ thống hiển thị trang chủ
2. Hiển thị thông tin của sản phẩm được chọn
3. Hiển thị pop up mua hàng
4. Hiển thị thông tin vừa nhập tại trường họ tên
5. Hiển thị thông tin vừa nhập tại trường số điện thoại
6. Hiển thị thông tin vừa nhập tại trường địa chỉ
7. Hiển thị thông tin vừa nhập tại trường yêu cầu thêm
8. Hiển thị thông báo "Số điện thoại phải có ít nhất 10 số"</t>
  </si>
  <si>
    <t>1. Hệ thống hiển thị trang chủ
2. Hiển thị thông tin của sản phẩm được chọn
3. Hiển thị pop up mua hàng
4. Hiển thị thông tin vừa nhập tại trường họ tên
5. Hiển thị thông tin vừa nhập tại trường số điện thoại
6. Hiển thị thông tin vừa nhập tại trường địa chỉ
7. Hiển thị thông tin vừa nhập tại trường yêu cầu thêm
8. Hiển thị thông báo "Số điện thoại chỉ bao gồm những số"</t>
  </si>
  <si>
    <t>1. Hệ thống hiển thị trang chủ
2. Hiển thị thông tin của sản phẩm được chọn
3. Hiển thị pop up mua hàng
4. Hiển thị thông tin vừa nhập tại trường họ tên
5. Hiển thị placeholder "Số điện thoại người mua"
6. Hiển thị thông tin vừa nhập tại trường địa chỉ
7. Hiển thị thông tin vừa nhập tại trường yêu cầu thêm
8. Hiển thị thông báo "Bạn chưa nhập số điện thoại người mua"</t>
  </si>
  <si>
    <t>1. Hệ thống hiển thị trang chủ
2. Hiển thị thông tin của sản phẩm được chọn
3. Hiển thị pop up mua hàng
4. Hiển thị thông tin vừa nhập tại trường họ tên
5. Hiển thị thông tin vừa nhập tại trường số điện thoại
6. Hiển thị placeholder "Địa chỉ nhận hàng"
7. Hiển thị thông tin vừa nhập tại trường yêu cầu thêm
8. Hiển thị thông báo "Bạn chưa nhập địa chỉ nhận hàng"</t>
  </si>
  <si>
    <t>1. Hệ thống hiển thị trang chủ
2. Hiển thị thông tin của sản phẩm được chọn
3. Hiển thị pop up mua hàng
4. Hiển thị thông tin vừa nhập tại trường họ tên
5. Hiển thị thông tin vừa nhập tại trường số điện thoại
6. Hiển thị thông tin vừa nhập tại trường địa chỉ
7. Hiển thị placeholder "Yêu cầu thêm ..."
8. Hiển thị thông báo "Cảm ơn bạn đã đặt hàng, vui lòng check lại đơn hàng trong messenger. Gấu Bông Online sẽ hoàn thiện thông tin và cập nhật hành trình đơn hàng cho bạn qua messenger nha"</t>
  </si>
  <si>
    <t>1. Hệ thống hiển thị trang chủ
2. Hiển thị thông tin của sản phẩm được chọn
3. Hiển thị pop up mua hàng
4. Hiển thị placeholder "Họ và tên người mua"
5. Hiển thị placeholder "Số điện thoại người mua"
6. Hiển thị thông tin vừa nhập tại trường địa chỉ
7. Hiển thị thông tin vừa nhập tại trường yêu cầu thêm
8. Hiển thị thông báo "Bạn chưa nhập họ và tên người mua"</t>
  </si>
  <si>
    <t>1. Hệ thống hiển thị trang chủ
2. Hiển thị thông tin của sản phẩm được chọn
3. Hiển thị pop up mua hàng
4. Hiển thị placeholder "Họ và tên người mua"
5. Hiển thị thông tin vừa nhập tại trường số điện thoại
6. Hiển thị placeholder "Địa chỉ nhận hàng"
7. Hiển thị thông tin vừa nhập tại trường yêu cầu thêm
8. Hiển thị thông báo "Bạn chưa nhập họ và tên người mua"</t>
  </si>
  <si>
    <t>1. Hệ thống hiển thị trang chủ
2. Hiển thị thông tin của sản phẩm được chọn
3. Hiển thị pop up mua hàng
4. Hiển thị placeholder "Họ và tên người mua"
5. Hiển thị thông tin vừa nhập tại trường số điện thoại
6. Hiển thị thông tin vừa nhập tại trường địa chỉ
7. Hiển thị placeholder "Yêu cầu thêm ..."
8. Hiển thị thông báo "Bạn chưa nhập họ và tên người mua"</t>
  </si>
  <si>
    <t>1. Hệ thống hiển thị trang chủ
2. Hiển thị thông tin của sản phẩm được chọn
3. Hiển thị pop up mua hàng
4. Hiển thị thông tin vừa nhập tại trường họ tên
5. Hiển thị placeholder "Số điện thoại người mua"
6. Hiển thị placeholder "Địa chỉ nhận hàng"
7. Hiển thị thông tin vừa nhập tại trường yêu cầu thêm
8. Hiển thị thông báo "Bạn chưa nhập số điện thoại người mua"</t>
  </si>
  <si>
    <t>1. Hệ thống hiển thị trang chủ
2. Hiển thị thông tin của sản phẩm được chọn
3. Hiển thị pop up mua hàng
4. Hiển thị thông tin vừa nhập tại trường họ tên
5. Hiển thị placeholder "Số điện thoại người mua"
6. Hiển thị thông tin vừa nhập tại trường địa chỉ
7. Hiển thị placeholder "Yêu cầu thêm ..."
8. Hiển thị thông báo "Bạn chưa nhập số điện thoại người mua"</t>
  </si>
  <si>
    <t>1. Hệ thống hiển thị trang chủ
2. Hiển thị thông tin của sản phẩm được chọn
3. Hiển thị pop up mua hàng
4. Hiển thị thông tin vừa nhập tại trường họ tên
5. Hiển thị thông tin vừa nhập tại trường số điện thoại
6. Hiển thị placeholder "Địa chỉ nhận hàng"
7. Hiển thị placeholder "Yêu cầu thêm ..."
8. Hiển thị thông báo "Bạn chưa nhập địa chỉ nhận hàng"</t>
  </si>
  <si>
    <t>1. Hệ thống hiển thị trang chủ
2. Hiển thị thông tin của sản phẩm được chọn
3. Hiển thị pop up mua hàng
4. Hiển thị placeholder "Họ và tên người mua"
5. Hiển thị placeholder "Số điện thoại người mua"
6. Hiển thị placeholder "Địa chỉ nhận hàng"
7. Hiển thị thông tin vừa nhập tại trường yêu cầu thêm
8. Hiển thị thông báo "Bạn chưa nhập họ và tên người mua"</t>
  </si>
  <si>
    <t>1. Hệ thống hiển thị trang chủ
2. Hiển thị thông tin của sản phẩm được chọn
3. Hiển thị pop up mua hàng
4. Hiển thị placeholder "Họ và tên người mua"
5. Hiển thị placeholder "Số điện thoại người mua"
6. Hiển thị thông tin vừa nhập tại trường địa chỉ
7. Hiển thị placeholder "Yêu cầu thêm ..."
8. Hiển thị thông báo "Bạn chưa nhập họ và tên người mua"</t>
  </si>
  <si>
    <t>1. Hệ thống hiển thị trang chủ
2. Hiển thị thông tin của sản phẩm được chọn
3. Hiển thị pop up mua hàng
4. Hiển thị placeholder "Họ và tên người mua"
5. Hiển thị thông tin vừa nhập tại trường số điện thoại
6. Hiển thị placeholder "Địa chỉ nhận hàng"
7. Hiển thị placeholder "Yêu cầu thêm ..."
8. Hiển thị thông báo "Bạn chưa nhập họ và tên người mua"</t>
  </si>
  <si>
    <t>1. Hệ thống hiển thị trang chủ
2. Hiển thị thông tin của sản phẩm được chọn
3. Hiển thị pop up mua hàng
4. Hiển thị thông tin vừa nhập tại trường họ tên
5. Hiển thị placeholder "Số điện thoại người mua"
6. Hiển thị placeholder "Địa chỉ nhận hàng"
7. Hiển thị placeholder "Yêu cầu thêm ..."
8. Hiển thị thông báo "Bạn chưa nhập số điện thoại người mua"</t>
  </si>
  <si>
    <t>1. Hệ thống hiển thị trang chủ
2. Hiển thị thông tin của sản phẩm được chọn
3. Hiển thị pop up mua hàng
4. Hiển thị placeholder "Họ và tên người mua"
5. Hiển thị placeholder "Số điện thoại người mua"
6. Hiển thị placeholder "Địa chỉ nhận hàng"
7. Hiển thị placeholder "Yêu cầu thêm ..."
8. Hiển thị thông báo "Bạn chưa nhập họ và tên người mua"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</si>
</sst>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ＭＳ Ｐゴシック"/>
      <family val="2"/>
      <charset val="128"/>
    </font>
    <font>
      <u/>
      <sz val="11"/>
      <color indexed="12"/>
      <name val="ＭＳ Ｐゴシック"/>
      <family val="3"/>
      <charset val="128"/>
    </font>
    <font>
      <b/>
      <u/>
      <sz val="8"/>
      <color indexed="12"/>
      <name val="Tahoma"/>
      <family val="2"/>
    </font>
    <font>
      <sz val="11"/>
      <name val="ＭＳ Ｐゴシック"/>
      <family val="2"/>
      <charset val="128"/>
    </font>
    <font>
      <sz val="8"/>
      <name val="Tahoma"/>
      <family val="2"/>
    </font>
    <font>
      <b/>
      <sz val="8"/>
      <name val="Tahoma"/>
      <family val="2"/>
    </font>
    <font>
      <b/>
      <sz val="8"/>
      <color indexed="9"/>
      <name val="Tahoma"/>
      <family val="2"/>
    </font>
    <font>
      <sz val="8"/>
      <name val="ＭＳ Ｐゴシック"/>
      <family val="2"/>
      <charset val="128"/>
    </font>
  </fonts>
  <fills count="5">
    <fill>
      <patternFill patternType="none"/>
    </fill>
    <fill>
      <patternFill patternType="gray125"/>
    </fill>
    <fill>
      <patternFill patternType="solid">
        <fgColor indexed="22"/>
        <bgColor indexed="55"/>
      </patternFill>
    </fill>
    <fill>
      <patternFill patternType="solid">
        <fgColor indexed="18"/>
        <bgColor indexed="32"/>
      </patternFill>
    </fill>
    <fill>
      <patternFill patternType="solid">
        <fgColor theme="0"/>
        <bgColor indexed="64"/>
      </patternFill>
    </fill>
  </fills>
  <borders count="2">
    <border>
      <left/>
      <right/>
      <top/>
      <bottom/>
      <diagonal/>
    </border>
    <border>
      <left style="hair">
        <color indexed="8"/>
      </left>
      <right style="hair">
        <color indexed="8"/>
      </right>
      <top style="hair">
        <color indexed="8"/>
      </top>
      <bottom style="hair">
        <color indexed="8"/>
      </bottom>
      <diagonal/>
    </border>
  </borders>
  <cellStyleXfs count="3">
    <xf numFmtId="0" fontId="0" fillId="0" borderId="0"/>
    <xf numFmtId="0" fontId="1" fillId="0" borderId="0" applyNumberFormat="0" applyFill="0" applyBorder="0" applyAlignment="0" applyProtection="0"/>
    <xf numFmtId="0" fontId="3" fillId="0" borderId="0"/>
  </cellStyleXfs>
  <cellXfs count="16">
    <xf numFmtId="0" fontId="0" fillId="0" borderId="0" xfId="0"/>
    <xf numFmtId="0" fontId="2" fillId="2" borderId="1" xfId="1" applyFont="1" applyFill="1" applyBorder="1" applyAlignment="1">
      <alignment horizontal="left" vertical="top" wrapText="1"/>
    </xf>
    <xf numFmtId="0" fontId="4" fillId="2" borderId="1" xfId="0" applyFont="1" applyFill="1" applyBorder="1" applyAlignment="1">
      <alignment horizontal="left" vertical="top" wrapText="1"/>
    </xf>
    <xf numFmtId="0" fontId="4" fillId="2" borderId="1" xfId="0" applyFont="1" applyFill="1" applyBorder="1" applyAlignment="1">
      <alignment vertical="top" wrapText="1"/>
    </xf>
    <xf numFmtId="0" fontId="4" fillId="2" borderId="0" xfId="0" applyFont="1" applyFill="1" applyAlignment="1">
      <alignment vertical="top" wrapText="1"/>
    </xf>
    <xf numFmtId="0" fontId="4" fillId="0" borderId="0" xfId="0" applyFont="1"/>
    <xf numFmtId="0" fontId="5" fillId="2" borderId="1" xfId="2" applyFont="1" applyFill="1" applyBorder="1" applyAlignment="1">
      <alignment horizontal="left" vertical="top" wrapText="1"/>
    </xf>
    <xf numFmtId="0" fontId="4" fillId="2" borderId="1" xfId="2" applyFont="1" applyFill="1" applyBorder="1" applyAlignment="1">
      <alignment horizontal="left" vertical="top" wrapText="1"/>
    </xf>
    <xf numFmtId="2" fontId="4" fillId="2" borderId="1" xfId="0" applyNumberFormat="1" applyFont="1" applyFill="1" applyBorder="1" applyAlignment="1">
      <alignment vertical="top" wrapText="1"/>
    </xf>
    <xf numFmtId="2" fontId="4" fillId="2" borderId="0" xfId="0" applyNumberFormat="1" applyFont="1" applyFill="1" applyAlignment="1">
      <alignment vertical="top" wrapText="1"/>
    </xf>
    <xf numFmtId="0" fontId="6" fillId="3" borderId="1" xfId="2" applyFont="1" applyFill="1" applyBorder="1" applyAlignment="1">
      <alignment horizontal="center" vertical="center" wrapText="1"/>
    </xf>
    <xf numFmtId="0" fontId="4" fillId="4" borderId="1" xfId="0" applyFont="1" applyFill="1" applyBorder="1" applyAlignment="1">
      <alignment vertical="top"/>
    </xf>
    <xf numFmtId="0" fontId="4" fillId="4" borderId="1" xfId="0" applyFont="1" applyFill="1" applyBorder="1" applyAlignment="1">
      <alignment vertical="top" wrapText="1"/>
    </xf>
    <xf numFmtId="16" fontId="4" fillId="4" borderId="1" xfId="0" applyNumberFormat="1" applyFont="1" applyFill="1" applyBorder="1" applyAlignment="1">
      <alignment vertical="top"/>
    </xf>
    <xf numFmtId="0" fontId="4" fillId="4" borderId="0" xfId="0" applyFont="1" applyFill="1"/>
    <xf numFmtId="0" fontId="4" fillId="4" borderId="1" xfId="0" quotePrefix="1" applyFont="1" applyFill="1" applyBorder="1" applyAlignment="1">
      <alignment vertical="top" wrapText="1"/>
    </xf>
  </cellXfs>
  <cellStyles count="3">
    <cellStyle name="Hyperlink" xfId="1" builtinId="8"/>
    <cellStyle name="Normal" xfId="0" builtinId="0"/>
    <cellStyle name="Normal_Sheet1"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CER\Desktop\Sample_Test%20Cas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est report"/>
      <sheetName val="Hybrid"/>
      <sheetName val="Home page"/>
      <sheetName val="ER"/>
      <sheetName val="Find a Doctor"/>
      <sheetName val="MFM-Login"/>
      <sheetName val="MFM-ForgotPassword"/>
      <sheetName val="MFM-CreateAcct"/>
      <sheetName val="MFM-ChangePassword"/>
      <sheetName val="MFM-CreateProfile"/>
      <sheetName val="MFM-DashboardDeleteAcct"/>
      <sheetName val="MFM-ViewEditDeleteProfile"/>
      <sheetName val="ECH Resources"/>
      <sheetName val="ECH news"/>
      <sheetName val="Visiting ECH"/>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zoomScaleNormal="100" workbookViewId="0">
      <pane ySplit="4" topLeftCell="A6" activePane="bottomLeft" state="frozen"/>
      <selection pane="bottomLeft" activeCell="H14" sqref="H14"/>
    </sheetView>
  </sheetViews>
  <sheetFormatPr defaultColWidth="9" defaultRowHeight="10.199999999999999"/>
  <cols>
    <col min="1" max="1" width="14.33203125" style="5" customWidth="1"/>
    <col min="2" max="2" width="18.5546875" style="5" bestFit="1" customWidth="1"/>
    <col min="3" max="3" width="22.109375" style="5" customWidth="1"/>
    <col min="4" max="4" width="40.33203125" style="5" customWidth="1"/>
    <col min="5" max="6" width="30.33203125" style="5" customWidth="1"/>
    <col min="7" max="7" width="9.6640625" style="5" customWidth="1"/>
    <col min="8" max="8" width="9" style="5"/>
    <col min="9" max="9" width="17.21875" style="5" customWidth="1"/>
    <col min="10" max="16384" width="9" style="5"/>
  </cols>
  <sheetData>
    <row r="1" spans="1:9" ht="12.75" customHeight="1">
      <c r="A1" s="1" t="s">
        <v>0</v>
      </c>
      <c r="B1" s="1" t="s">
        <v>1</v>
      </c>
      <c r="C1" s="1"/>
      <c r="D1" s="2" t="e">
        <f>"Pass: "&amp;COUNTIF(#REF!,"Pass")</f>
        <v>#REF!</v>
      </c>
      <c r="E1" s="3" t="e">
        <f>"Untested: "&amp;COUNTIF(#REF!,"Untest")</f>
        <v>#REF!</v>
      </c>
      <c r="F1" s="3" t="e">
        <f>"Untested: "&amp;COUNTIF(#REF!,"Untest")</f>
        <v>#REF!</v>
      </c>
      <c r="G1" s="4"/>
    </row>
    <row r="2" spans="1:9" ht="12.75" customHeight="1">
      <c r="A2" s="6" t="s">
        <v>2</v>
      </c>
      <c r="B2" s="7" t="s">
        <v>13</v>
      </c>
      <c r="C2" s="7"/>
      <c r="D2" s="2" t="e">
        <f>"Fail: "&amp;COUNTIF(#REF!,"Fail")</f>
        <v>#REF!</v>
      </c>
      <c r="E2" s="3" t="e">
        <f>"N/A: "&amp;COUNTIF(#REF!,"N/A")</f>
        <v>#REF!</v>
      </c>
      <c r="F2" s="3" t="e">
        <f>"N/A: "&amp;COUNTIF(#REF!,"N/A")</f>
        <v>#REF!</v>
      </c>
      <c r="G2" s="4"/>
    </row>
    <row r="3" spans="1:9" ht="12.75" customHeight="1">
      <c r="A3" s="6" t="s">
        <v>3</v>
      </c>
      <c r="B3" s="6" t="s">
        <v>14</v>
      </c>
      <c r="C3" s="6"/>
      <c r="D3" s="2" t="e">
        <f>"Percent Complete: "&amp;ROUND((COUNTIF(#REF!,"Pass")*100)/((COUNTA($A$5:$A$973)*5)-COUNTIF(#REF!,"N/A")),2)&amp;"%"</f>
        <v>#REF!</v>
      </c>
      <c r="E3" s="8" t="str">
        <f>"Number of cases: "&amp;(COUNTA($A$5:$A$973))</f>
        <v>Number of cases: 10</v>
      </c>
      <c r="F3" s="8" t="str">
        <f>"Number of cases: "&amp;(COUNTA($A$5:$A$973))</f>
        <v>Number of cases: 10</v>
      </c>
      <c r="G3" s="9"/>
    </row>
    <row r="4" spans="1:9" ht="28.35" customHeight="1">
      <c r="A4" s="10" t="s">
        <v>4</v>
      </c>
      <c r="B4" s="10" t="s">
        <v>5</v>
      </c>
      <c r="C4" s="10" t="s">
        <v>6</v>
      </c>
      <c r="D4" s="10" t="s">
        <v>7</v>
      </c>
      <c r="E4" s="10" t="s">
        <v>8</v>
      </c>
      <c r="F4" s="10" t="s">
        <v>12</v>
      </c>
      <c r="G4" s="10" t="s">
        <v>11</v>
      </c>
      <c r="H4" s="10" t="s">
        <v>9</v>
      </c>
      <c r="I4" s="10" t="s">
        <v>10</v>
      </c>
    </row>
    <row r="5" spans="1:9" s="14" customFormat="1" ht="82.2" customHeight="1">
      <c r="A5" s="11" t="str">
        <f>IF(OR(B5&lt;&gt;"",E5&lt;&gt;""),"["&amp;TEXT($B$2,"#")&amp;"-"&amp;TEXT(ROW()-4,"##")&amp;"]","")</f>
        <v>[Tìm kiếm-1]</v>
      </c>
      <c r="B5" s="11" t="s">
        <v>15</v>
      </c>
      <c r="C5" s="15" t="s">
        <v>26</v>
      </c>
      <c r="D5" s="12" t="s">
        <v>27</v>
      </c>
      <c r="E5" s="12" t="s">
        <v>38</v>
      </c>
      <c r="F5" s="12" t="s">
        <v>38</v>
      </c>
      <c r="G5" s="12" t="s">
        <v>24</v>
      </c>
      <c r="H5" s="13" t="s">
        <v>25</v>
      </c>
      <c r="I5" s="11"/>
    </row>
    <row r="6" spans="1:9" ht="83.4" customHeight="1">
      <c r="A6" s="11" t="str">
        <f t="shared" ref="A6:A7" si="0">IF(OR(B6&lt;&gt;"",E6&lt;&gt;""),"["&amp;TEXT($B$2,"#")&amp;"-"&amp;TEXT(ROW()-4,"##")&amp;"]","")</f>
        <v>[Tìm kiếm-2]</v>
      </c>
      <c r="B6" s="12" t="s">
        <v>20</v>
      </c>
      <c r="C6" s="15" t="s">
        <v>26</v>
      </c>
      <c r="D6" s="12" t="s">
        <v>37</v>
      </c>
      <c r="E6" s="12" t="s">
        <v>35</v>
      </c>
      <c r="F6" s="12" t="s">
        <v>35</v>
      </c>
      <c r="G6" s="12" t="s">
        <v>24</v>
      </c>
      <c r="H6" s="13" t="s">
        <v>25</v>
      </c>
      <c r="I6" s="11"/>
    </row>
    <row r="7" spans="1:9" ht="88.2" customHeight="1">
      <c r="A7" s="11" t="str">
        <f t="shared" si="0"/>
        <v>[Tìm kiếm-3]</v>
      </c>
      <c r="B7" s="12" t="s">
        <v>16</v>
      </c>
      <c r="C7" s="15" t="s">
        <v>26</v>
      </c>
      <c r="D7" s="12" t="s">
        <v>28</v>
      </c>
      <c r="E7" s="12" t="s">
        <v>38</v>
      </c>
      <c r="F7" s="12" t="s">
        <v>36</v>
      </c>
      <c r="G7" s="12" t="s">
        <v>24</v>
      </c>
      <c r="H7" s="13" t="s">
        <v>25</v>
      </c>
      <c r="I7" s="11"/>
    </row>
    <row r="8" spans="1:9" s="14" customFormat="1" ht="82.2" customHeight="1">
      <c r="A8" s="11" t="str">
        <f>IF(OR(B8&lt;&gt;"",E8&lt;&gt;""),"["&amp;TEXT($B$2,"#")&amp;"-"&amp;TEXT(ROW()-4,"##")&amp;"]","")</f>
        <v>[Tìm kiếm-4]</v>
      </c>
      <c r="B8" s="12" t="s">
        <v>17</v>
      </c>
      <c r="C8" s="15" t="s">
        <v>26</v>
      </c>
      <c r="D8" s="12" t="s">
        <v>29</v>
      </c>
      <c r="E8" s="12" t="s">
        <v>38</v>
      </c>
      <c r="F8" s="12" t="s">
        <v>36</v>
      </c>
      <c r="G8" s="12" t="s">
        <v>24</v>
      </c>
      <c r="H8" s="13" t="s">
        <v>25</v>
      </c>
      <c r="I8" s="11"/>
    </row>
    <row r="9" spans="1:9" ht="84" customHeight="1">
      <c r="A9" s="11" t="str">
        <f t="shared" ref="A9:A10" si="1">IF(OR(B9&lt;&gt;"",E9&lt;&gt;""),"["&amp;TEXT($B$2,"#")&amp;"-"&amp;TEXT(ROW()-4,"##")&amp;"]","")</f>
        <v>[Tìm kiếm-5]</v>
      </c>
      <c r="B9" s="12" t="s">
        <v>18</v>
      </c>
      <c r="C9" s="15" t="s">
        <v>26</v>
      </c>
      <c r="D9" s="12" t="s">
        <v>23</v>
      </c>
      <c r="E9" s="12" t="s">
        <v>38</v>
      </c>
      <c r="F9" s="12" t="s">
        <v>36</v>
      </c>
      <c r="G9" s="12" t="s">
        <v>24</v>
      </c>
      <c r="H9" s="13" t="s">
        <v>25</v>
      </c>
      <c r="I9" s="11"/>
    </row>
    <row r="10" spans="1:9" ht="85.8" customHeight="1">
      <c r="A10" s="11" t="str">
        <f t="shared" si="1"/>
        <v>[Tìm kiếm-6]</v>
      </c>
      <c r="B10" s="12" t="s">
        <v>19</v>
      </c>
      <c r="C10" s="15" t="s">
        <v>26</v>
      </c>
      <c r="D10" s="12" t="s">
        <v>30</v>
      </c>
      <c r="E10" s="12" t="s">
        <v>38</v>
      </c>
      <c r="F10" s="12" t="s">
        <v>36</v>
      </c>
      <c r="G10" s="12" t="s">
        <v>24</v>
      </c>
      <c r="H10" s="13" t="s">
        <v>25</v>
      </c>
      <c r="I10" s="11"/>
    </row>
    <row r="11" spans="1:9" s="14" customFormat="1" ht="82.2" customHeight="1">
      <c r="A11" s="11" t="str">
        <f>IF(OR(B11&lt;&gt;"",E11&lt;&gt;""),"["&amp;TEXT($B$2,"#")&amp;"-"&amp;TEXT(ROW()-4,"##")&amp;"]","")</f>
        <v>[Tìm kiếm-7]</v>
      </c>
      <c r="B11" s="12" t="s">
        <v>21</v>
      </c>
      <c r="C11" s="15" t="s">
        <v>26</v>
      </c>
      <c r="D11" s="12" t="s">
        <v>31</v>
      </c>
      <c r="E11" s="12" t="s">
        <v>38</v>
      </c>
      <c r="F11" s="12" t="s">
        <v>36</v>
      </c>
      <c r="G11" s="12" t="s">
        <v>24</v>
      </c>
      <c r="H11" s="13" t="s">
        <v>25</v>
      </c>
      <c r="I11" s="11"/>
    </row>
    <row r="12" spans="1:9" ht="78" customHeight="1">
      <c r="A12" s="11" t="str">
        <f t="shared" ref="A12" si="2">IF(OR(B12&lt;&gt;"",E12&lt;&gt;""),"["&amp;TEXT($B$2,"#")&amp;"-"&amp;TEXT(ROW()-4,"##")&amp;"]","")</f>
        <v>[Tìm kiếm-8]</v>
      </c>
      <c r="B12" s="12" t="s">
        <v>22</v>
      </c>
      <c r="C12" s="15" t="s">
        <v>26</v>
      </c>
      <c r="D12" s="12" t="s">
        <v>32</v>
      </c>
      <c r="E12" s="12" t="s">
        <v>38</v>
      </c>
      <c r="F12" s="12" t="s">
        <v>36</v>
      </c>
      <c r="G12" s="12" t="s">
        <v>24</v>
      </c>
      <c r="H12" s="13" t="s">
        <v>25</v>
      </c>
      <c r="I12" s="11"/>
    </row>
    <row r="13" spans="1:9" ht="84.6" customHeight="1">
      <c r="A13" s="11" t="str">
        <f t="shared" ref="A13" si="3">IF(OR(B13&lt;&gt;"",E13&lt;&gt;""),"["&amp;TEXT($B$2,"#")&amp;"-"&amp;TEXT(ROW()-4,"##")&amp;"]","")</f>
        <v>[Tìm kiếm-9]</v>
      </c>
      <c r="B13" s="12" t="s">
        <v>33</v>
      </c>
      <c r="C13" s="15" t="s">
        <v>26</v>
      </c>
      <c r="D13" s="12" t="s">
        <v>34</v>
      </c>
      <c r="E13" s="12" t="s">
        <v>35</v>
      </c>
      <c r="F13" s="12" t="s">
        <v>35</v>
      </c>
      <c r="G13" s="12" t="s">
        <v>24</v>
      </c>
      <c r="H13" s="13" t="s">
        <v>25</v>
      </c>
      <c r="I13" s="11"/>
    </row>
    <row r="14" spans="1:9" ht="84.6" customHeight="1">
      <c r="A14" s="11" t="str">
        <f t="shared" ref="A14" si="4">IF(OR(B14&lt;&gt;"",E14&lt;&gt;""),"["&amp;TEXT($B$2,"#")&amp;"-"&amp;TEXT(ROW()-4,"##")&amp;"]","")</f>
        <v>[Tìm kiếm-10]</v>
      </c>
      <c r="B14" s="12" t="s">
        <v>39</v>
      </c>
      <c r="C14" s="15" t="s">
        <v>26</v>
      </c>
      <c r="D14" s="12" t="s">
        <v>40</v>
      </c>
      <c r="E14" s="12" t="s">
        <v>35</v>
      </c>
      <c r="F14" s="12" t="s">
        <v>35</v>
      </c>
      <c r="G14" s="12" t="s">
        <v>24</v>
      </c>
      <c r="H14" s="13" t="s">
        <v>25</v>
      </c>
      <c r="I14" s="11"/>
    </row>
  </sheetData>
  <sheetProtection selectLockedCells="1" selectUnlockedCells="1"/>
  <phoneticPr fontId="7" type="noConversion"/>
  <hyperlinks>
    <hyperlink ref="A1" location="'Test report'!A1" display="Back to TestReport" xr:uid="{00000000-0004-0000-0000-000000000000}"/>
    <hyperlink ref="B1" location="BugList!A1" display="To Buglist" xr:uid="{00000000-0004-0000-0000-000001000000}"/>
  </hyperlinks>
  <pageMargins left="0.78749999999999998" right="0.78749999999999998" top="1.0527777777777778" bottom="1.0527777777777778" header="0.78749999999999998" footer="0.78749999999999998"/>
  <pageSetup firstPageNumber="0" orientation="portrait" horizontalDpi="300" verticalDpi="300" r:id="rId1"/>
  <headerFooter alignWithMargins="0">
    <oddHeader>&amp;C&amp;"Times New Roman,Chuẩn"&amp;12&amp;A</oddHeader>
    <oddFooter>&amp;C&amp;"Times New Roman,Chuẩn"&amp;12Trang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67F5B-57A4-467F-976B-093591CD41E6}">
  <dimension ref="A1:I17"/>
  <sheetViews>
    <sheetView topLeftCell="A8" workbookViewId="0">
      <selection activeCell="E9" sqref="E9"/>
    </sheetView>
  </sheetViews>
  <sheetFormatPr defaultColWidth="9" defaultRowHeight="10.199999999999999"/>
  <cols>
    <col min="1" max="1" width="14.33203125" style="5" customWidth="1"/>
    <col min="2" max="2" width="18.5546875" style="5" bestFit="1" customWidth="1"/>
    <col min="3" max="3" width="22.109375" style="5" customWidth="1"/>
    <col min="4" max="4" width="40.33203125" style="5" customWidth="1"/>
    <col min="5" max="6" width="30.33203125" style="5" customWidth="1"/>
    <col min="7" max="7" width="9.6640625" style="5" customWidth="1"/>
    <col min="8" max="8" width="9" style="5"/>
    <col min="9" max="9" width="17.21875" style="5" customWidth="1"/>
    <col min="10" max="16384" width="9" style="5"/>
  </cols>
  <sheetData>
    <row r="1" spans="1:9" ht="12.75" customHeight="1">
      <c r="A1" s="1" t="s">
        <v>0</v>
      </c>
      <c r="B1" s="1" t="s">
        <v>1</v>
      </c>
      <c r="C1" s="1"/>
      <c r="D1" s="2" t="e">
        <f>"Pass: "&amp;COUNTIF(#REF!,"Pass")</f>
        <v>#REF!</v>
      </c>
      <c r="E1" s="3" t="e">
        <f>"Untested: "&amp;COUNTIF(#REF!,"Untest")</f>
        <v>#REF!</v>
      </c>
      <c r="F1" s="3" t="e">
        <f>"Untested: "&amp;COUNTIF(#REF!,"Untest")</f>
        <v>#REF!</v>
      </c>
      <c r="G1" s="4"/>
    </row>
    <row r="2" spans="1:9" ht="12.75" customHeight="1">
      <c r="A2" s="6" t="s">
        <v>2</v>
      </c>
      <c r="B2" s="7" t="s">
        <v>41</v>
      </c>
      <c r="C2" s="7"/>
      <c r="D2" s="2" t="e">
        <f>"Fail: "&amp;COUNTIF(#REF!,"Fail")</f>
        <v>#REF!</v>
      </c>
      <c r="E2" s="3" t="e">
        <f>"N/A: "&amp;COUNTIF(#REF!,"N/A")</f>
        <v>#REF!</v>
      </c>
      <c r="F2" s="3" t="e">
        <f>"N/A: "&amp;COUNTIF(#REF!,"N/A")</f>
        <v>#REF!</v>
      </c>
      <c r="G2" s="4"/>
    </row>
    <row r="3" spans="1:9" ht="12.75" customHeight="1">
      <c r="A3" s="6" t="s">
        <v>3</v>
      </c>
      <c r="B3" s="6" t="s">
        <v>14</v>
      </c>
      <c r="C3" s="6"/>
      <c r="D3" s="2" t="e">
        <f>"Percent Complete: "&amp;ROUND((COUNTIF(#REF!,"Pass")*100)/((COUNTA($A$5:$A$973)*5)-COUNTIF(#REF!,"N/A")),2)&amp;"%"</f>
        <v>#REF!</v>
      </c>
      <c r="E3" s="8" t="str">
        <f>"Number of cases: "&amp;(COUNTA($A$5:$A$973))</f>
        <v>Number of cases: 13</v>
      </c>
      <c r="F3" s="8" t="str">
        <f>"Number of cases: "&amp;(COUNTA($A$5:$A$973))</f>
        <v>Number of cases: 13</v>
      </c>
      <c r="G3" s="9"/>
    </row>
    <row r="4" spans="1:9" ht="28.35" customHeight="1">
      <c r="A4" s="10" t="s">
        <v>4</v>
      </c>
      <c r="B4" s="10" t="s">
        <v>5</v>
      </c>
      <c r="C4" s="10" t="s">
        <v>6</v>
      </c>
      <c r="D4" s="10" t="s">
        <v>7</v>
      </c>
      <c r="E4" s="10" t="s">
        <v>8</v>
      </c>
      <c r="F4" s="10" t="s">
        <v>12</v>
      </c>
      <c r="G4" s="10" t="s">
        <v>11</v>
      </c>
      <c r="H4" s="10" t="s">
        <v>9</v>
      </c>
      <c r="I4" s="10" t="s">
        <v>10</v>
      </c>
    </row>
    <row r="5" spans="1:9" s="14" customFormat="1" ht="82.2" customHeight="1">
      <c r="A5" s="11" t="str">
        <f>IF(OR(B5&lt;&gt;"",E5&lt;&gt;""),"["&amp;TEXT($B$2,"#")&amp;"-"&amp;TEXT(ROW()-4,"##")&amp;"]","")</f>
        <v>[Bình luận-1]</v>
      </c>
      <c r="B5" s="11" t="s">
        <v>42</v>
      </c>
      <c r="C5" s="15" t="s">
        <v>26</v>
      </c>
      <c r="D5" s="12" t="s">
        <v>55</v>
      </c>
      <c r="E5" s="12" t="s">
        <v>56</v>
      </c>
      <c r="F5" s="12" t="s">
        <v>56</v>
      </c>
      <c r="G5" s="12" t="s">
        <v>24</v>
      </c>
      <c r="H5" s="13" t="s">
        <v>75</v>
      </c>
      <c r="I5" s="11"/>
    </row>
    <row r="6" spans="1:9" ht="83.4" customHeight="1">
      <c r="A6" s="11" t="str">
        <f t="shared" ref="A6:A7" si="0">IF(OR(B6&lt;&gt;"",E6&lt;&gt;""),"["&amp;TEXT($B$2,"#")&amp;"-"&amp;TEXT(ROW()-4,"##")&amp;"]","")</f>
        <v>[Bình luận-2]</v>
      </c>
      <c r="B6" s="12" t="s">
        <v>43</v>
      </c>
      <c r="C6" s="15" t="s">
        <v>26</v>
      </c>
      <c r="D6" s="12" t="s">
        <v>57</v>
      </c>
      <c r="E6" s="12" t="s">
        <v>67</v>
      </c>
      <c r="F6" s="12" t="s">
        <v>67</v>
      </c>
      <c r="G6" s="12" t="s">
        <v>24</v>
      </c>
      <c r="H6" s="13" t="s">
        <v>75</v>
      </c>
      <c r="I6" s="11"/>
    </row>
    <row r="7" spans="1:9" ht="88.2" customHeight="1">
      <c r="A7" s="11" t="str">
        <f t="shared" si="0"/>
        <v>[Bình luận-3]</v>
      </c>
      <c r="B7" s="12" t="s">
        <v>44</v>
      </c>
      <c r="C7" s="15" t="s">
        <v>26</v>
      </c>
      <c r="D7" s="12" t="s">
        <v>58</v>
      </c>
      <c r="E7" s="12" t="s">
        <v>56</v>
      </c>
      <c r="F7" s="12" t="s">
        <v>56</v>
      </c>
      <c r="G7" s="12" t="s">
        <v>24</v>
      </c>
      <c r="H7" s="13" t="s">
        <v>75</v>
      </c>
      <c r="I7" s="11"/>
    </row>
    <row r="8" spans="1:9" s="14" customFormat="1" ht="82.2" customHeight="1">
      <c r="A8" s="11" t="str">
        <f>IF(OR(B8&lt;&gt;"",E8&lt;&gt;""),"["&amp;TEXT($B$2,"#")&amp;"-"&amp;TEXT(ROW()-4,"##")&amp;"]","")</f>
        <v>[Bình luận-4]</v>
      </c>
      <c r="B8" s="12" t="s">
        <v>45</v>
      </c>
      <c r="C8" s="15" t="s">
        <v>26</v>
      </c>
      <c r="D8" s="12" t="s">
        <v>59</v>
      </c>
      <c r="E8" s="12" t="s">
        <v>56</v>
      </c>
      <c r="F8" s="12" t="s">
        <v>56</v>
      </c>
      <c r="G8" s="12" t="s">
        <v>24</v>
      </c>
      <c r="H8" s="13" t="s">
        <v>75</v>
      </c>
      <c r="I8" s="11"/>
    </row>
    <row r="9" spans="1:9" ht="84" customHeight="1">
      <c r="A9" s="11" t="str">
        <f t="shared" ref="A9:A10" si="1">IF(OR(B9&lt;&gt;"",E9&lt;&gt;""),"["&amp;TEXT($B$2,"#")&amp;"-"&amp;TEXT(ROW()-4,"##")&amp;"]","")</f>
        <v>[Bình luận-5]</v>
      </c>
      <c r="B9" s="12" t="s">
        <v>46</v>
      </c>
      <c r="C9" s="15" t="s">
        <v>26</v>
      </c>
      <c r="D9" s="12" t="s">
        <v>68</v>
      </c>
      <c r="E9" s="12" t="s">
        <v>69</v>
      </c>
      <c r="F9" s="12" t="s">
        <v>69</v>
      </c>
      <c r="G9" s="12" t="s">
        <v>24</v>
      </c>
      <c r="H9" s="13" t="s">
        <v>75</v>
      </c>
      <c r="I9" s="11"/>
    </row>
    <row r="10" spans="1:9" ht="85.8" customHeight="1">
      <c r="A10" s="11" t="str">
        <f t="shared" si="1"/>
        <v>[Bình luận-6]</v>
      </c>
      <c r="B10" s="12" t="s">
        <v>47</v>
      </c>
      <c r="C10" s="15" t="s">
        <v>26</v>
      </c>
      <c r="D10" s="12" t="s">
        <v>70</v>
      </c>
      <c r="E10" s="12" t="s">
        <v>71</v>
      </c>
      <c r="F10" s="12" t="s">
        <v>71</v>
      </c>
      <c r="G10" s="12" t="s">
        <v>24</v>
      </c>
      <c r="H10" s="13" t="s">
        <v>75</v>
      </c>
      <c r="I10" s="11"/>
    </row>
    <row r="11" spans="1:9" s="14" customFormat="1" ht="82.2" customHeight="1">
      <c r="A11" s="11" t="str">
        <f>IF(OR(B11&lt;&gt;"",E11&lt;&gt;""),"["&amp;TEXT($B$2,"#")&amp;"-"&amp;TEXT(ROW()-4,"##")&amp;"]","")</f>
        <v>[Bình luận-7]</v>
      </c>
      <c r="B11" s="12" t="s">
        <v>48</v>
      </c>
      <c r="C11" s="15" t="s">
        <v>26</v>
      </c>
      <c r="D11" s="12" t="s">
        <v>60</v>
      </c>
      <c r="E11" s="12" t="s">
        <v>56</v>
      </c>
      <c r="F11" s="12" t="s">
        <v>56</v>
      </c>
      <c r="G11" s="12" t="s">
        <v>24</v>
      </c>
      <c r="H11" s="13" t="s">
        <v>75</v>
      </c>
      <c r="I11" s="11"/>
    </row>
    <row r="12" spans="1:9" ht="78" customHeight="1">
      <c r="A12" s="11" t="str">
        <f t="shared" ref="A12:A14" si="2">IF(OR(B12&lt;&gt;"",E12&lt;&gt;""),"["&amp;TEXT($B$2,"#")&amp;"-"&amp;TEXT(ROW()-4,"##")&amp;"]","")</f>
        <v>[Bình luận-8]</v>
      </c>
      <c r="B12" s="12" t="s">
        <v>49</v>
      </c>
      <c r="C12" s="15" t="s">
        <v>26</v>
      </c>
      <c r="D12" s="12" t="s">
        <v>61</v>
      </c>
      <c r="E12" s="12" t="s">
        <v>73</v>
      </c>
      <c r="F12" s="12" t="s">
        <v>73</v>
      </c>
      <c r="G12" s="12" t="s">
        <v>24</v>
      </c>
      <c r="H12" s="13" t="s">
        <v>75</v>
      </c>
      <c r="I12" s="11"/>
    </row>
    <row r="13" spans="1:9" ht="84.6" customHeight="1">
      <c r="A13" s="11" t="str">
        <f t="shared" si="2"/>
        <v>[Bình luận-9]</v>
      </c>
      <c r="B13" s="12" t="s">
        <v>50</v>
      </c>
      <c r="C13" s="15" t="s">
        <v>26</v>
      </c>
      <c r="D13" s="12" t="s">
        <v>62</v>
      </c>
      <c r="E13" s="12" t="s">
        <v>56</v>
      </c>
      <c r="F13" s="12" t="s">
        <v>56</v>
      </c>
      <c r="G13" s="12" t="s">
        <v>24</v>
      </c>
      <c r="H13" s="13" t="s">
        <v>75</v>
      </c>
      <c r="I13" s="11"/>
    </row>
    <row r="14" spans="1:9" ht="84.6" customHeight="1">
      <c r="A14" s="11" t="str">
        <f t="shared" si="2"/>
        <v>[Bình luận-10]</v>
      </c>
      <c r="B14" s="12" t="s">
        <v>51</v>
      </c>
      <c r="C14" s="15" t="s">
        <v>26</v>
      </c>
      <c r="D14" s="12" t="s">
        <v>63</v>
      </c>
      <c r="E14" s="12" t="s">
        <v>72</v>
      </c>
      <c r="F14" s="12" t="s">
        <v>72</v>
      </c>
      <c r="G14" s="12" t="s">
        <v>24</v>
      </c>
      <c r="H14" s="13" t="s">
        <v>75</v>
      </c>
      <c r="I14" s="11"/>
    </row>
    <row r="15" spans="1:9" ht="78" customHeight="1">
      <c r="A15" s="11" t="str">
        <f t="shared" ref="A15:A17" si="3">IF(OR(B15&lt;&gt;"",E15&lt;&gt;""),"["&amp;TEXT($B$2,"#")&amp;"-"&amp;TEXT(ROW()-4,"##")&amp;"]","")</f>
        <v>[Bình luận-11]</v>
      </c>
      <c r="B15" s="12" t="s">
        <v>52</v>
      </c>
      <c r="C15" s="15" t="s">
        <v>26</v>
      </c>
      <c r="D15" s="12" t="s">
        <v>64</v>
      </c>
      <c r="E15" s="12" t="s">
        <v>73</v>
      </c>
      <c r="F15" s="12" t="s">
        <v>73</v>
      </c>
      <c r="G15" s="12" t="s">
        <v>24</v>
      </c>
      <c r="H15" s="13" t="s">
        <v>75</v>
      </c>
      <c r="I15" s="11"/>
    </row>
    <row r="16" spans="1:9" ht="84.6" customHeight="1">
      <c r="A16" s="11" t="str">
        <f t="shared" si="3"/>
        <v>[Bình luận-12]</v>
      </c>
      <c r="B16" s="12" t="s">
        <v>53</v>
      </c>
      <c r="C16" s="15" t="s">
        <v>26</v>
      </c>
      <c r="D16" s="12" t="s">
        <v>65</v>
      </c>
      <c r="E16" s="12" t="s">
        <v>74</v>
      </c>
      <c r="F16" s="12" t="s">
        <v>74</v>
      </c>
      <c r="G16" s="12" t="s">
        <v>24</v>
      </c>
      <c r="H16" s="13" t="s">
        <v>75</v>
      </c>
      <c r="I16" s="11"/>
    </row>
    <row r="17" spans="1:9" ht="84.6" customHeight="1">
      <c r="A17" s="11" t="str">
        <f t="shared" si="3"/>
        <v>[Bình luận-13]</v>
      </c>
      <c r="B17" s="12" t="s">
        <v>54</v>
      </c>
      <c r="C17" s="15" t="s">
        <v>26</v>
      </c>
      <c r="D17" s="12" t="s">
        <v>66</v>
      </c>
      <c r="E17" s="12" t="s">
        <v>72</v>
      </c>
      <c r="F17" s="12" t="s">
        <v>72</v>
      </c>
      <c r="G17" s="12" t="s">
        <v>24</v>
      </c>
      <c r="H17" s="13" t="s">
        <v>75</v>
      </c>
      <c r="I17" s="11"/>
    </row>
  </sheetData>
  <phoneticPr fontId="7" type="noConversion"/>
  <hyperlinks>
    <hyperlink ref="A1" location="'Test report'!A1" display="Back to TestReport" xr:uid="{4AEE04E4-E67C-4DC4-8B93-9611D370D93A}"/>
    <hyperlink ref="B1" location="BugList!A1" display="To Buglist" xr:uid="{D0EAD63D-8BF5-40F8-BDBE-D84EC8F9122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7A50F-A266-44ED-BB61-D323361B5C31}">
  <dimension ref="A1:I15"/>
  <sheetViews>
    <sheetView topLeftCell="A10" workbookViewId="0">
      <selection activeCell="F11" sqref="F11"/>
    </sheetView>
  </sheetViews>
  <sheetFormatPr defaultColWidth="9" defaultRowHeight="10.199999999999999"/>
  <cols>
    <col min="1" max="1" width="14.33203125" style="5" customWidth="1"/>
    <col min="2" max="2" width="18.5546875" style="5" bestFit="1" customWidth="1"/>
    <col min="3" max="3" width="22.109375" style="5" customWidth="1"/>
    <col min="4" max="4" width="40.33203125" style="5" customWidth="1"/>
    <col min="5" max="6" width="30.33203125" style="5" customWidth="1"/>
    <col min="7" max="7" width="9.6640625" style="5" customWidth="1"/>
    <col min="8" max="8" width="9" style="5"/>
    <col min="9" max="9" width="17.21875" style="5" customWidth="1"/>
    <col min="10" max="16384" width="9" style="5"/>
  </cols>
  <sheetData>
    <row r="1" spans="1:9" ht="12.75" customHeight="1">
      <c r="A1" s="1" t="s">
        <v>0</v>
      </c>
      <c r="B1" s="1" t="s">
        <v>1</v>
      </c>
      <c r="C1" s="1"/>
      <c r="D1" s="2" t="e">
        <f>"Pass: "&amp;COUNTIF(#REF!,"Pass")</f>
        <v>#REF!</v>
      </c>
      <c r="E1" s="3" t="e">
        <f>"Untested: "&amp;COUNTIF(#REF!,"Untest")</f>
        <v>#REF!</v>
      </c>
      <c r="F1" s="3" t="e">
        <f>"Untested: "&amp;COUNTIF(#REF!,"Untest")</f>
        <v>#REF!</v>
      </c>
      <c r="G1" s="4"/>
    </row>
    <row r="2" spans="1:9" ht="12.75" customHeight="1">
      <c r="A2" s="6" t="s">
        <v>2</v>
      </c>
      <c r="B2" s="7" t="s">
        <v>76</v>
      </c>
      <c r="C2" s="7"/>
      <c r="D2" s="2" t="e">
        <f>"Fail: "&amp;COUNTIF(#REF!,"Fail")</f>
        <v>#REF!</v>
      </c>
      <c r="E2" s="3" t="e">
        <f>"N/A: "&amp;COUNTIF(#REF!,"N/A")</f>
        <v>#REF!</v>
      </c>
      <c r="F2" s="3" t="e">
        <f>"N/A: "&amp;COUNTIF(#REF!,"N/A")</f>
        <v>#REF!</v>
      </c>
      <c r="G2" s="4"/>
    </row>
    <row r="3" spans="1:9" ht="12.75" customHeight="1">
      <c r="A3" s="6" t="s">
        <v>3</v>
      </c>
      <c r="B3" s="6" t="s">
        <v>14</v>
      </c>
      <c r="C3" s="6"/>
      <c r="D3" s="2" t="e">
        <f>"Percent Complete: "&amp;ROUND((COUNTIF(#REF!,"Pass")*100)/((COUNTA($A$5:$A$971)*5)-COUNTIF(#REF!,"N/A")),2)&amp;"%"</f>
        <v>#REF!</v>
      </c>
      <c r="E3" s="8" t="str">
        <f>"Number of cases: "&amp;(COUNTA($A$5:$A$971))</f>
        <v>Number of cases: 11</v>
      </c>
      <c r="F3" s="8" t="str">
        <f>"Number of cases: "&amp;(COUNTA($A$5:$A$971))</f>
        <v>Number of cases: 11</v>
      </c>
      <c r="G3" s="9"/>
    </row>
    <row r="4" spans="1:9" ht="28.35" customHeight="1">
      <c r="A4" s="10" t="s">
        <v>4</v>
      </c>
      <c r="B4" s="10" t="s">
        <v>5</v>
      </c>
      <c r="C4" s="10" t="s">
        <v>6</v>
      </c>
      <c r="D4" s="10" t="s">
        <v>7</v>
      </c>
      <c r="E4" s="10" t="s">
        <v>8</v>
      </c>
      <c r="F4" s="10" t="s">
        <v>12</v>
      </c>
      <c r="G4" s="10" t="s">
        <v>11</v>
      </c>
      <c r="H4" s="10" t="s">
        <v>9</v>
      </c>
      <c r="I4" s="10" t="s">
        <v>10</v>
      </c>
    </row>
    <row r="5" spans="1:9" s="14" customFormat="1" ht="82.2" customHeight="1">
      <c r="A5" s="11" t="str">
        <f>IF(OR(B5&lt;&gt;"",E5&lt;&gt;""),"["&amp;TEXT($B$2,"#")&amp;"-"&amp;TEXT(ROW()-4,"##")&amp;"]","")</f>
        <v>[Đặt hàng nhanh-1]</v>
      </c>
      <c r="B5" s="11" t="s">
        <v>43</v>
      </c>
      <c r="C5" s="15" t="s">
        <v>26</v>
      </c>
      <c r="D5" s="12" t="s">
        <v>85</v>
      </c>
      <c r="E5" s="12" t="s">
        <v>86</v>
      </c>
      <c r="F5" s="12" t="s">
        <v>86</v>
      </c>
      <c r="G5" s="12" t="s">
        <v>24</v>
      </c>
      <c r="H5" s="13" t="s">
        <v>87</v>
      </c>
      <c r="I5" s="11"/>
    </row>
    <row r="6" spans="1:9" ht="103.2" customHeight="1">
      <c r="A6" s="11" t="str">
        <f t="shared" ref="A6:A7" si="0">IF(OR(B6&lt;&gt;"",E6&lt;&gt;""),"["&amp;TEXT($B$2,"#")&amp;"-"&amp;TEXT(ROW()-4,"##")&amp;"]","")</f>
        <v>[Đặt hàng nhanh-2]</v>
      </c>
      <c r="B6" s="12" t="s">
        <v>44</v>
      </c>
      <c r="C6" s="15" t="s">
        <v>26</v>
      </c>
      <c r="D6" s="12" t="s">
        <v>88</v>
      </c>
      <c r="E6" s="12" t="s">
        <v>98</v>
      </c>
      <c r="F6" s="12" t="s">
        <v>98</v>
      </c>
      <c r="G6" s="12" t="s">
        <v>24</v>
      </c>
      <c r="H6" s="13" t="s">
        <v>87</v>
      </c>
      <c r="I6" s="11"/>
    </row>
    <row r="7" spans="1:9" ht="88.2" customHeight="1">
      <c r="A7" s="11" t="str">
        <f t="shared" si="0"/>
        <v>[Đặt hàng nhanh-3]</v>
      </c>
      <c r="B7" s="12" t="s">
        <v>77</v>
      </c>
      <c r="C7" s="15" t="s">
        <v>26</v>
      </c>
      <c r="D7" s="12" t="s">
        <v>89</v>
      </c>
      <c r="E7" s="12" t="s">
        <v>86</v>
      </c>
      <c r="F7" s="12" t="s">
        <v>86</v>
      </c>
      <c r="G7" s="12" t="s">
        <v>24</v>
      </c>
      <c r="H7" s="13" t="s">
        <v>87</v>
      </c>
      <c r="I7" s="11"/>
    </row>
    <row r="8" spans="1:9" s="14" customFormat="1" ht="106.8" customHeight="1">
      <c r="A8" s="11" t="str">
        <f>IF(OR(B8&lt;&gt;"",E8&lt;&gt;""),"["&amp;TEXT($B$2,"#")&amp;"-"&amp;TEXT(ROW()-4,"##")&amp;"]","")</f>
        <v>[Đặt hàng nhanh-4]</v>
      </c>
      <c r="B8" s="12" t="s">
        <v>78</v>
      </c>
      <c r="C8" s="15" t="s">
        <v>26</v>
      </c>
      <c r="D8" s="12" t="s">
        <v>90</v>
      </c>
      <c r="E8" s="12" t="s">
        <v>98</v>
      </c>
      <c r="F8" s="12" t="s">
        <v>98</v>
      </c>
      <c r="G8" s="12" t="s">
        <v>24</v>
      </c>
      <c r="H8" s="13" t="s">
        <v>87</v>
      </c>
      <c r="I8" s="11"/>
    </row>
    <row r="9" spans="1:9" ht="85.8" customHeight="1">
      <c r="A9" s="11" t="str">
        <f t="shared" ref="A9" si="1">IF(OR(B9&lt;&gt;"",E9&lt;&gt;""),"["&amp;TEXT($B$2,"#")&amp;"-"&amp;TEXT(ROW()-4,"##")&amp;"]","")</f>
        <v>[Đặt hàng nhanh-5]</v>
      </c>
      <c r="B9" s="12" t="s">
        <v>47</v>
      </c>
      <c r="C9" s="15" t="s">
        <v>26</v>
      </c>
      <c r="D9" s="12" t="s">
        <v>91</v>
      </c>
      <c r="E9" s="12" t="s">
        <v>99</v>
      </c>
      <c r="F9" s="12" t="s">
        <v>99</v>
      </c>
      <c r="G9" s="12" t="s">
        <v>24</v>
      </c>
      <c r="H9" s="13" t="s">
        <v>87</v>
      </c>
      <c r="I9" s="11"/>
    </row>
    <row r="10" spans="1:9" s="14" customFormat="1" ht="82.2" customHeight="1">
      <c r="A10" s="11" t="str">
        <f>IF(OR(B10&lt;&gt;"",E10&lt;&gt;""),"["&amp;TEXT($B$2,"#")&amp;"-"&amp;TEXT(ROW()-4,"##")&amp;"]","")</f>
        <v>[Đặt hàng nhanh-6]</v>
      </c>
      <c r="B10" s="12" t="s">
        <v>79</v>
      </c>
      <c r="C10" s="15" t="s">
        <v>26</v>
      </c>
      <c r="D10" s="12" t="s">
        <v>92</v>
      </c>
      <c r="E10" s="12" t="s">
        <v>100</v>
      </c>
      <c r="F10" s="12" t="s">
        <v>100</v>
      </c>
      <c r="G10" s="12" t="s">
        <v>24</v>
      </c>
      <c r="H10" s="13" t="s">
        <v>87</v>
      </c>
      <c r="I10" s="11"/>
    </row>
    <row r="11" spans="1:9" ht="78" customHeight="1">
      <c r="A11" s="11" t="str">
        <f t="shared" ref="A11:A15" si="2">IF(OR(B11&lt;&gt;"",E11&lt;&gt;""),"["&amp;TEXT($B$2,"#")&amp;"-"&amp;TEXT(ROW()-4,"##")&amp;"]","")</f>
        <v>[Đặt hàng nhanh-7]</v>
      </c>
      <c r="B11" s="12" t="s">
        <v>80</v>
      </c>
      <c r="C11" s="15" t="s">
        <v>26</v>
      </c>
      <c r="D11" s="12" t="s">
        <v>93</v>
      </c>
      <c r="E11" s="12" t="s">
        <v>100</v>
      </c>
      <c r="F11" s="12" t="s">
        <v>100</v>
      </c>
      <c r="G11" s="12" t="s">
        <v>24</v>
      </c>
      <c r="H11" s="13" t="s">
        <v>87</v>
      </c>
      <c r="I11" s="11"/>
    </row>
    <row r="12" spans="1:9" ht="84.6" customHeight="1">
      <c r="A12" s="11" t="str">
        <f t="shared" si="2"/>
        <v>[Đặt hàng nhanh-8]</v>
      </c>
      <c r="B12" s="12" t="s">
        <v>81</v>
      </c>
      <c r="C12" s="15" t="s">
        <v>26</v>
      </c>
      <c r="D12" s="12" t="s">
        <v>94</v>
      </c>
      <c r="E12" s="12" t="s">
        <v>100</v>
      </c>
      <c r="F12" s="12" t="s">
        <v>100</v>
      </c>
      <c r="G12" s="12" t="s">
        <v>24</v>
      </c>
      <c r="H12" s="13" t="s">
        <v>87</v>
      </c>
      <c r="I12" s="11"/>
    </row>
    <row r="13" spans="1:9" ht="84.6" customHeight="1">
      <c r="A13" s="11" t="str">
        <f t="shared" si="2"/>
        <v>[Đặt hàng nhanh-9]</v>
      </c>
      <c r="B13" s="12" t="s">
        <v>82</v>
      </c>
      <c r="C13" s="15" t="s">
        <v>26</v>
      </c>
      <c r="D13" s="12" t="s">
        <v>95</v>
      </c>
      <c r="E13" s="12" t="s">
        <v>100</v>
      </c>
      <c r="F13" s="12" t="s">
        <v>100</v>
      </c>
      <c r="G13" s="12" t="s">
        <v>24</v>
      </c>
      <c r="H13" s="13" t="s">
        <v>87</v>
      </c>
      <c r="I13" s="11"/>
    </row>
    <row r="14" spans="1:9" ht="78" customHeight="1">
      <c r="A14" s="11" t="str">
        <f t="shared" si="2"/>
        <v>[Đặt hàng nhanh-10]</v>
      </c>
      <c r="B14" s="12" t="s">
        <v>83</v>
      </c>
      <c r="C14" s="15" t="s">
        <v>26</v>
      </c>
      <c r="D14" s="12" t="s">
        <v>96</v>
      </c>
      <c r="E14" s="12" t="s">
        <v>100</v>
      </c>
      <c r="F14" s="12" t="s">
        <v>100</v>
      </c>
      <c r="G14" s="12" t="s">
        <v>24</v>
      </c>
      <c r="H14" s="13" t="s">
        <v>87</v>
      </c>
      <c r="I14" s="11"/>
    </row>
    <row r="15" spans="1:9" ht="84.6" customHeight="1">
      <c r="A15" s="11" t="str">
        <f t="shared" si="2"/>
        <v>[Đặt hàng nhanh-11]</v>
      </c>
      <c r="B15" s="12" t="s">
        <v>84</v>
      </c>
      <c r="C15" s="15" t="s">
        <v>26</v>
      </c>
      <c r="D15" s="12" t="s">
        <v>97</v>
      </c>
      <c r="E15" s="12" t="s">
        <v>100</v>
      </c>
      <c r="F15" s="12" t="s">
        <v>100</v>
      </c>
      <c r="G15" s="12" t="s">
        <v>24</v>
      </c>
      <c r="H15" s="13" t="s">
        <v>87</v>
      </c>
      <c r="I15" s="11"/>
    </row>
  </sheetData>
  <hyperlinks>
    <hyperlink ref="A1" location="'Test report'!A1" display="Back to TestReport" xr:uid="{78CFE47A-7CCC-4311-B237-25E96B593E2B}"/>
    <hyperlink ref="B1" location="BugList!A1" display="To Buglist" xr:uid="{27F43F68-7965-4816-9807-DB116263226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C15FA-98CB-40B3-8A21-3B99C78A6E4E}">
  <dimension ref="A1:I28"/>
  <sheetViews>
    <sheetView tabSelected="1" topLeftCell="A14" zoomScale="87" workbookViewId="0">
      <selection activeCell="F16" sqref="F16"/>
    </sheetView>
  </sheetViews>
  <sheetFormatPr defaultColWidth="9" defaultRowHeight="10.199999999999999"/>
  <cols>
    <col min="1" max="1" width="14.33203125" style="5" customWidth="1"/>
    <col min="2" max="2" width="18.5546875" style="5" bestFit="1" customWidth="1"/>
    <col min="3" max="3" width="27.6640625" style="5" customWidth="1"/>
    <col min="4" max="4" width="43.6640625" style="5" customWidth="1"/>
    <col min="5" max="6" width="40.44140625" style="5" customWidth="1"/>
    <col min="7" max="7" width="9.6640625" style="5" customWidth="1"/>
    <col min="8" max="8" width="11.33203125" style="5" customWidth="1"/>
    <col min="9" max="9" width="17.21875" style="5" customWidth="1"/>
    <col min="10" max="16384" width="9" style="5"/>
  </cols>
  <sheetData>
    <row r="1" spans="1:9" ht="12.75" customHeight="1">
      <c r="A1" s="1" t="s">
        <v>0</v>
      </c>
      <c r="B1" s="1" t="s">
        <v>1</v>
      </c>
      <c r="C1" s="1"/>
      <c r="D1" s="2" t="e">
        <f>"Pass: "&amp;COUNTIF(#REF!,"Pass")</f>
        <v>#REF!</v>
      </c>
      <c r="E1" s="3" t="e">
        <f>"Untested: "&amp;COUNTIF(#REF!,"Untest")</f>
        <v>#REF!</v>
      </c>
      <c r="F1" s="3" t="e">
        <f>"Untested: "&amp;COUNTIF(#REF!,"Untest")</f>
        <v>#REF!</v>
      </c>
      <c r="G1" s="4"/>
    </row>
    <row r="2" spans="1:9" ht="12.75" customHeight="1">
      <c r="A2" s="6" t="s">
        <v>2</v>
      </c>
      <c r="B2" s="7" t="s">
        <v>101</v>
      </c>
      <c r="C2" s="7"/>
      <c r="D2" s="2" t="e">
        <f>"Fail: "&amp;COUNTIF(#REF!,"Fail")</f>
        <v>#REF!</v>
      </c>
      <c r="E2" s="3" t="e">
        <f>"N/A: "&amp;COUNTIF(#REF!,"N/A")</f>
        <v>#REF!</v>
      </c>
      <c r="F2" s="3" t="e">
        <f>"N/A: "&amp;COUNTIF(#REF!,"N/A")</f>
        <v>#REF!</v>
      </c>
      <c r="G2" s="4"/>
    </row>
    <row r="3" spans="1:9" ht="12.75" customHeight="1">
      <c r="A3" s="6" t="s">
        <v>3</v>
      </c>
      <c r="B3" s="6" t="s">
        <v>14</v>
      </c>
      <c r="C3" s="6"/>
      <c r="D3" s="2" t="e">
        <f>"Percent Complete: "&amp;ROUND((COUNTIF(#REF!,"Pass")*100)/((COUNTA($A$5:$A$973)*5)-COUNTIF(#REF!,"N/A")),2)&amp;"%"</f>
        <v>#REF!</v>
      </c>
      <c r="E3" s="8" t="str">
        <f>"Number of cases: "&amp;(COUNTA($A$5:$A$973))</f>
        <v>Number of cases: 24</v>
      </c>
      <c r="F3" s="8" t="str">
        <f>"Number of cases: "&amp;(COUNTA($A$5:$A$973))</f>
        <v>Number of cases: 24</v>
      </c>
      <c r="G3" s="9"/>
    </row>
    <row r="4" spans="1:9" ht="28.35" customHeight="1">
      <c r="A4" s="10" t="s">
        <v>4</v>
      </c>
      <c r="B4" s="10" t="s">
        <v>5</v>
      </c>
      <c r="C4" s="10" t="s">
        <v>6</v>
      </c>
      <c r="D4" s="10" t="s">
        <v>7</v>
      </c>
      <c r="E4" s="10" t="s">
        <v>8</v>
      </c>
      <c r="F4" s="10" t="s">
        <v>12</v>
      </c>
      <c r="G4" s="10" t="s">
        <v>11</v>
      </c>
      <c r="H4" s="10" t="s">
        <v>9</v>
      </c>
      <c r="I4" s="10" t="s">
        <v>10</v>
      </c>
    </row>
    <row r="5" spans="1:9" s="14" customFormat="1" ht="99" customHeight="1">
      <c r="A5" s="11" t="str">
        <f>IF(OR(B5&lt;&gt;"",E5&lt;&gt;""),"["&amp;TEXT($B$2,"#")&amp;"-"&amp;TEXT(ROW()-4,"##")&amp;"]","")</f>
        <v>[Mua hàng-1]</v>
      </c>
      <c r="B5" s="11" t="s">
        <v>120</v>
      </c>
      <c r="C5" s="15" t="s">
        <v>26</v>
      </c>
      <c r="D5" s="12" t="s">
        <v>122</v>
      </c>
      <c r="E5" s="12" t="s">
        <v>146</v>
      </c>
      <c r="F5" s="12" t="s">
        <v>146</v>
      </c>
      <c r="G5" s="12" t="s">
        <v>24</v>
      </c>
      <c r="H5" s="13" t="s">
        <v>121</v>
      </c>
      <c r="I5" s="11"/>
    </row>
    <row r="6" spans="1:9" ht="132.6" customHeight="1">
      <c r="A6" s="11" t="str">
        <f t="shared" ref="A6:A7" si="0">IF(OR(B6&lt;&gt;"",E6&lt;&gt;""),"["&amp;TEXT($B$2,"#")&amp;"-"&amp;TEXT(ROW()-4,"##")&amp;"]","")</f>
        <v>[Mua hàng-2]</v>
      </c>
      <c r="B6" s="12" t="s">
        <v>102</v>
      </c>
      <c r="C6" s="15" t="s">
        <v>26</v>
      </c>
      <c r="D6" s="12" t="s">
        <v>123</v>
      </c>
      <c r="E6" s="12" t="s">
        <v>147</v>
      </c>
      <c r="F6" s="12" t="s">
        <v>147</v>
      </c>
      <c r="G6" s="12" t="s">
        <v>24</v>
      </c>
      <c r="H6" s="13" t="s">
        <v>75</v>
      </c>
      <c r="I6" s="11"/>
    </row>
    <row r="7" spans="1:9" ht="128.4" customHeight="1">
      <c r="A7" s="11" t="str">
        <f t="shared" si="0"/>
        <v>[Mua hàng-3]</v>
      </c>
      <c r="B7" s="12" t="s">
        <v>103</v>
      </c>
      <c r="C7" s="15" t="s">
        <v>26</v>
      </c>
      <c r="D7" s="12" t="s">
        <v>124</v>
      </c>
      <c r="E7" s="12" t="s">
        <v>147</v>
      </c>
      <c r="F7" s="12" t="s">
        <v>147</v>
      </c>
      <c r="G7" s="12" t="s">
        <v>24</v>
      </c>
      <c r="H7" s="13" t="s">
        <v>75</v>
      </c>
      <c r="I7" s="11"/>
    </row>
    <row r="8" spans="1:9" s="14" customFormat="1" ht="132.6" customHeight="1">
      <c r="A8" s="11" t="str">
        <f>IF(OR(B8&lt;&gt;"",E8&lt;&gt;""),"["&amp;TEXT($B$2,"#")&amp;"-"&amp;TEXT(ROW()-4,"##")&amp;"]","")</f>
        <v>[Mua hàng-4]</v>
      </c>
      <c r="B8" s="12" t="s">
        <v>50</v>
      </c>
      <c r="C8" s="15" t="s">
        <v>26</v>
      </c>
      <c r="D8" s="12" t="s">
        <v>125</v>
      </c>
      <c r="E8" s="12" t="s">
        <v>147</v>
      </c>
      <c r="F8" s="12" t="s">
        <v>147</v>
      </c>
      <c r="G8" s="12" t="s">
        <v>24</v>
      </c>
      <c r="H8" s="13" t="s">
        <v>75</v>
      </c>
      <c r="I8" s="11"/>
    </row>
    <row r="9" spans="1:9" ht="108" customHeight="1">
      <c r="A9" s="11" t="str">
        <f t="shared" ref="A9:A10" si="1">IF(OR(B9&lt;&gt;"",E9&lt;&gt;""),"["&amp;TEXT($B$2,"#")&amp;"-"&amp;TEXT(ROW()-4,"##")&amp;"]","")</f>
        <v>[Mua hàng-5]</v>
      </c>
      <c r="B9" s="12" t="s">
        <v>43</v>
      </c>
      <c r="C9" s="15" t="s">
        <v>26</v>
      </c>
      <c r="D9" s="12" t="s">
        <v>126</v>
      </c>
      <c r="E9" s="12" t="s">
        <v>148</v>
      </c>
      <c r="F9" s="12" t="s">
        <v>148</v>
      </c>
      <c r="G9" s="12" t="s">
        <v>24</v>
      </c>
      <c r="H9" s="13" t="s">
        <v>75</v>
      </c>
      <c r="I9" s="11"/>
    </row>
    <row r="10" spans="1:9" ht="136.19999999999999" customHeight="1">
      <c r="A10" s="11" t="str">
        <f t="shared" si="1"/>
        <v>[Mua hàng-6]</v>
      </c>
      <c r="B10" s="12" t="s">
        <v>44</v>
      </c>
      <c r="C10" s="15" t="s">
        <v>26</v>
      </c>
      <c r="D10" s="12" t="s">
        <v>127</v>
      </c>
      <c r="E10" s="12" t="s">
        <v>147</v>
      </c>
      <c r="F10" s="12" t="s">
        <v>147</v>
      </c>
      <c r="G10" s="12" t="s">
        <v>24</v>
      </c>
      <c r="H10" s="13" t="s">
        <v>75</v>
      </c>
      <c r="I10" s="11"/>
    </row>
    <row r="11" spans="1:9" s="14" customFormat="1" ht="102.6" customHeight="1">
      <c r="A11" s="11" t="str">
        <f>IF(OR(B11&lt;&gt;"",E11&lt;&gt;""),"["&amp;TEXT($B$2,"#")&amp;"-"&amp;TEXT(ROW()-4,"##")&amp;"]","")</f>
        <v>[Mua hàng-7]</v>
      </c>
      <c r="B11" s="12" t="s">
        <v>104</v>
      </c>
      <c r="C11" s="15" t="s">
        <v>26</v>
      </c>
      <c r="D11" s="12" t="s">
        <v>128</v>
      </c>
      <c r="E11" s="12" t="s">
        <v>149</v>
      </c>
      <c r="F11" s="12" t="s">
        <v>149</v>
      </c>
      <c r="G11" s="12" t="s">
        <v>24</v>
      </c>
      <c r="H11" s="13" t="s">
        <v>75</v>
      </c>
      <c r="I11" s="11"/>
    </row>
    <row r="12" spans="1:9" ht="98.4" customHeight="1">
      <c r="A12" s="11" t="str">
        <f t="shared" ref="A12:A18" si="2">IF(OR(B12&lt;&gt;"",E12&lt;&gt;""),"["&amp;TEXT($B$2,"#")&amp;"-"&amp;TEXT(ROW()-4,"##")&amp;"]","")</f>
        <v>[Mua hàng-8]</v>
      </c>
      <c r="B12" s="12" t="s">
        <v>105</v>
      </c>
      <c r="C12" s="15" t="s">
        <v>26</v>
      </c>
      <c r="D12" s="12" t="s">
        <v>129</v>
      </c>
      <c r="E12" s="12" t="s">
        <v>149</v>
      </c>
      <c r="F12" s="12" t="s">
        <v>149</v>
      </c>
      <c r="G12" s="12" t="s">
        <v>24</v>
      </c>
      <c r="H12" s="13" t="s">
        <v>75</v>
      </c>
      <c r="I12" s="11"/>
    </row>
    <row r="13" spans="1:9" ht="103.2" customHeight="1">
      <c r="A13" s="11" t="str">
        <f t="shared" si="2"/>
        <v>[Mua hàng-9]</v>
      </c>
      <c r="B13" s="12" t="s">
        <v>106</v>
      </c>
      <c r="C13" s="15" t="s">
        <v>26</v>
      </c>
      <c r="D13" s="12" t="s">
        <v>130</v>
      </c>
      <c r="E13" s="12" t="s">
        <v>149</v>
      </c>
      <c r="F13" s="12" t="s">
        <v>149</v>
      </c>
      <c r="G13" s="12" t="s">
        <v>24</v>
      </c>
      <c r="H13" s="13" t="s">
        <v>75</v>
      </c>
      <c r="I13" s="11"/>
    </row>
    <row r="14" spans="1:9" ht="112.2" customHeight="1">
      <c r="A14" s="11" t="str">
        <f t="shared" si="2"/>
        <v>[Mua hàng-10]</v>
      </c>
      <c r="B14" s="12" t="s">
        <v>107</v>
      </c>
      <c r="C14" s="15" t="s">
        <v>26</v>
      </c>
      <c r="D14" s="12" t="s">
        <v>131</v>
      </c>
      <c r="E14" s="12" t="s">
        <v>150</v>
      </c>
      <c r="F14" s="12" t="s">
        <v>150</v>
      </c>
      <c r="G14" s="12" t="s">
        <v>24</v>
      </c>
      <c r="H14" s="13" t="s">
        <v>75</v>
      </c>
      <c r="I14" s="11"/>
    </row>
    <row r="15" spans="1:9" ht="120.6" customHeight="1">
      <c r="A15" s="11" t="str">
        <f t="shared" si="2"/>
        <v>[Mua hàng-11]</v>
      </c>
      <c r="B15" s="12" t="s">
        <v>108</v>
      </c>
      <c r="C15" s="15" t="s">
        <v>26</v>
      </c>
      <c r="D15" s="12" t="s">
        <v>132</v>
      </c>
      <c r="E15" s="12" t="s">
        <v>147</v>
      </c>
      <c r="F15" s="12" t="s">
        <v>147</v>
      </c>
      <c r="G15" s="12" t="s">
        <v>24</v>
      </c>
      <c r="H15" s="13" t="s">
        <v>75</v>
      </c>
      <c r="I15" s="11"/>
    </row>
    <row r="16" spans="1:9" ht="106.2" customHeight="1">
      <c r="A16" s="11" t="str">
        <f t="shared" si="2"/>
        <v>[Mua hàng-12]</v>
      </c>
      <c r="B16" s="12" t="s">
        <v>109</v>
      </c>
      <c r="C16" s="15" t="s">
        <v>26</v>
      </c>
      <c r="D16" s="12" t="s">
        <v>133</v>
      </c>
      <c r="E16" s="12" t="s">
        <v>151</v>
      </c>
      <c r="F16" s="12" t="s">
        <v>151</v>
      </c>
      <c r="G16" s="12" t="s">
        <v>24</v>
      </c>
      <c r="H16" s="13" t="s">
        <v>75</v>
      </c>
      <c r="I16" s="11"/>
    </row>
    <row r="17" spans="1:9" ht="133.80000000000001" customHeight="1">
      <c r="A17" s="11" t="str">
        <f t="shared" si="2"/>
        <v>[Mua hàng-13]</v>
      </c>
      <c r="B17" s="12" t="s">
        <v>110</v>
      </c>
      <c r="C17" s="15" t="s">
        <v>26</v>
      </c>
      <c r="D17" s="12" t="s">
        <v>134</v>
      </c>
      <c r="E17" s="12" t="s">
        <v>152</v>
      </c>
      <c r="F17" s="12" t="s">
        <v>152</v>
      </c>
      <c r="G17" s="12" t="s">
        <v>24</v>
      </c>
      <c r="H17" s="13" t="s">
        <v>75</v>
      </c>
      <c r="I17" s="11"/>
    </row>
    <row r="18" spans="1:9" ht="110.4" customHeight="1">
      <c r="A18" s="11" t="str">
        <f t="shared" si="2"/>
        <v>[Mua hàng-14]</v>
      </c>
      <c r="B18" s="12" t="s">
        <v>52</v>
      </c>
      <c r="C18" s="15" t="s">
        <v>26</v>
      </c>
      <c r="D18" s="12" t="s">
        <v>135</v>
      </c>
      <c r="E18" s="12" t="s">
        <v>153</v>
      </c>
      <c r="F18" s="12" t="s">
        <v>153</v>
      </c>
      <c r="G18" s="12" t="s">
        <v>24</v>
      </c>
      <c r="H18" s="13" t="s">
        <v>75</v>
      </c>
      <c r="I18" s="11"/>
    </row>
    <row r="19" spans="1:9" s="14" customFormat="1" ht="110.4" customHeight="1">
      <c r="A19" s="11" t="str">
        <f>IF(OR(B19&lt;&gt;"",E19&lt;&gt;""),"["&amp;TEXT($B$2,"#")&amp;"-"&amp;TEXT(ROW()-4,"##")&amp;"]","")</f>
        <v>[Mua hàng-15]</v>
      </c>
      <c r="B19" s="12" t="s">
        <v>111</v>
      </c>
      <c r="C19" s="15" t="s">
        <v>26</v>
      </c>
      <c r="D19" s="12" t="s">
        <v>136</v>
      </c>
      <c r="E19" s="12" t="s">
        <v>154</v>
      </c>
      <c r="F19" s="12" t="s">
        <v>154</v>
      </c>
      <c r="G19" s="12" t="s">
        <v>24</v>
      </c>
      <c r="H19" s="13" t="s">
        <v>75</v>
      </c>
      <c r="I19" s="11"/>
    </row>
    <row r="20" spans="1:9" ht="103.2" customHeight="1">
      <c r="A20" s="11" t="str">
        <f t="shared" ref="A20:A21" si="3">IF(OR(B20&lt;&gt;"",E20&lt;&gt;""),"["&amp;TEXT($B$2,"#")&amp;"-"&amp;TEXT(ROW()-4,"##")&amp;"]","")</f>
        <v>[Mua hàng-16]</v>
      </c>
      <c r="B20" s="12" t="s">
        <v>112</v>
      </c>
      <c r="C20" s="15" t="s">
        <v>26</v>
      </c>
      <c r="D20" s="12" t="s">
        <v>137</v>
      </c>
      <c r="E20" s="12" t="s">
        <v>155</v>
      </c>
      <c r="F20" s="12" t="s">
        <v>155</v>
      </c>
      <c r="G20" s="12" t="s">
        <v>24</v>
      </c>
      <c r="H20" s="13" t="s">
        <v>75</v>
      </c>
      <c r="I20" s="11"/>
    </row>
    <row r="21" spans="1:9" ht="104.4" customHeight="1">
      <c r="A21" s="11" t="str">
        <f t="shared" si="3"/>
        <v>[Mua hàng-17]</v>
      </c>
      <c r="B21" s="12" t="s">
        <v>113</v>
      </c>
      <c r="C21" s="15" t="s">
        <v>26</v>
      </c>
      <c r="D21" s="12" t="s">
        <v>138</v>
      </c>
      <c r="E21" s="12" t="s">
        <v>156</v>
      </c>
      <c r="F21" s="12" t="s">
        <v>156</v>
      </c>
      <c r="G21" s="12" t="s">
        <v>24</v>
      </c>
      <c r="H21" s="13" t="s">
        <v>75</v>
      </c>
      <c r="I21" s="11"/>
    </row>
    <row r="22" spans="1:9" s="14" customFormat="1" ht="102" customHeight="1">
      <c r="A22" s="11" t="str">
        <f>IF(OR(B22&lt;&gt;"",E22&lt;&gt;""),"["&amp;TEXT($B$2,"#")&amp;"-"&amp;TEXT(ROW()-4,"##")&amp;"]","")</f>
        <v>[Mua hàng-18]</v>
      </c>
      <c r="B22" s="12" t="s">
        <v>114</v>
      </c>
      <c r="C22" s="15" t="s">
        <v>26</v>
      </c>
      <c r="D22" s="12" t="s">
        <v>139</v>
      </c>
      <c r="E22" s="12" t="s">
        <v>157</v>
      </c>
      <c r="F22" s="12" t="s">
        <v>157</v>
      </c>
      <c r="G22" s="12" t="s">
        <v>24</v>
      </c>
      <c r="H22" s="13" t="s">
        <v>75</v>
      </c>
      <c r="I22" s="11"/>
    </row>
    <row r="23" spans="1:9" ht="99.6" customHeight="1">
      <c r="A23" s="11" t="str">
        <f t="shared" ref="A23:A28" si="4">IF(OR(B23&lt;&gt;"",E23&lt;&gt;""),"["&amp;TEXT($B$2,"#")&amp;"-"&amp;TEXT(ROW()-4,"##")&amp;"]","")</f>
        <v>[Mua hàng-19]</v>
      </c>
      <c r="B23" s="12" t="s">
        <v>115</v>
      </c>
      <c r="C23" s="15" t="s">
        <v>26</v>
      </c>
      <c r="D23" s="12" t="s">
        <v>140</v>
      </c>
      <c r="E23" s="12" t="s">
        <v>158</v>
      </c>
      <c r="F23" s="12" t="s">
        <v>158</v>
      </c>
      <c r="G23" s="12" t="s">
        <v>24</v>
      </c>
      <c r="H23" s="13" t="s">
        <v>75</v>
      </c>
      <c r="I23" s="11"/>
    </row>
    <row r="24" spans="1:9" ht="103.8" customHeight="1">
      <c r="A24" s="11" t="str">
        <f t="shared" si="4"/>
        <v>[Mua hàng-20]</v>
      </c>
      <c r="B24" s="12" t="s">
        <v>116</v>
      </c>
      <c r="C24" s="15" t="s">
        <v>26</v>
      </c>
      <c r="D24" s="12" t="s">
        <v>141</v>
      </c>
      <c r="E24" s="12" t="s">
        <v>159</v>
      </c>
      <c r="F24" s="12" t="s">
        <v>159</v>
      </c>
      <c r="G24" s="12" t="s">
        <v>24</v>
      </c>
      <c r="H24" s="13" t="s">
        <v>75</v>
      </c>
      <c r="I24" s="11"/>
    </row>
    <row r="25" spans="1:9" ht="105.6" customHeight="1">
      <c r="A25" s="11" t="str">
        <f t="shared" si="4"/>
        <v>[Mua hàng-21]</v>
      </c>
      <c r="B25" s="12" t="s">
        <v>117</v>
      </c>
      <c r="C25" s="15" t="s">
        <v>26</v>
      </c>
      <c r="D25" s="12" t="s">
        <v>142</v>
      </c>
      <c r="E25" s="12" t="s">
        <v>161</v>
      </c>
      <c r="F25" s="12" t="s">
        <v>161</v>
      </c>
      <c r="G25" s="12" t="s">
        <v>24</v>
      </c>
      <c r="H25" s="13" t="s">
        <v>75</v>
      </c>
      <c r="I25" s="11"/>
    </row>
    <row r="26" spans="1:9" ht="102" customHeight="1">
      <c r="A26" s="11" t="str">
        <f t="shared" si="4"/>
        <v>[Mua hàng-22]</v>
      </c>
      <c r="B26" s="12" t="s">
        <v>118</v>
      </c>
      <c r="C26" s="15" t="s">
        <v>26</v>
      </c>
      <c r="D26" s="12" t="s">
        <v>143</v>
      </c>
      <c r="E26" s="12" t="s">
        <v>160</v>
      </c>
      <c r="F26" s="12" t="s">
        <v>160</v>
      </c>
      <c r="G26" s="12" t="s">
        <v>24</v>
      </c>
      <c r="H26" s="13" t="s">
        <v>75</v>
      </c>
      <c r="I26" s="11"/>
    </row>
    <row r="27" spans="1:9" ht="104.4" customHeight="1">
      <c r="A27" s="11" t="str">
        <f t="shared" si="4"/>
        <v>[Mua hàng-23]</v>
      </c>
      <c r="B27" s="12" t="s">
        <v>119</v>
      </c>
      <c r="C27" s="15" t="s">
        <v>26</v>
      </c>
      <c r="D27" s="12" t="s">
        <v>144</v>
      </c>
      <c r="E27" s="12" t="s">
        <v>162</v>
      </c>
      <c r="F27" s="12" t="s">
        <v>162</v>
      </c>
      <c r="G27" s="12" t="s">
        <v>24</v>
      </c>
      <c r="H27" s="13" t="s">
        <v>75</v>
      </c>
      <c r="I27" s="11"/>
    </row>
    <row r="28" spans="1:9" ht="108.6" customHeight="1">
      <c r="A28" s="11" t="str">
        <f t="shared" si="4"/>
        <v>[Mua hàng-24]</v>
      </c>
      <c r="B28" s="12" t="s">
        <v>53</v>
      </c>
      <c r="C28" s="15" t="s">
        <v>26</v>
      </c>
      <c r="D28" s="12" t="s">
        <v>145</v>
      </c>
      <c r="E28" s="12" t="s">
        <v>163</v>
      </c>
      <c r="F28" s="12" t="s">
        <v>163</v>
      </c>
      <c r="G28" s="12" t="s">
        <v>24</v>
      </c>
      <c r="H28" s="13" t="s">
        <v>75</v>
      </c>
      <c r="I28" s="11"/>
    </row>
  </sheetData>
  <hyperlinks>
    <hyperlink ref="A1" location="'Test report'!A1" display="Back to TestReport" xr:uid="{EBD2B8FE-6906-4BEF-9CAF-DB5F543E35B8}"/>
    <hyperlink ref="B1" location="BugList!A1" display="To Buglist" xr:uid="{D45268F1-92F6-4238-AF93-20BBF66C5B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TimKiem</vt:lpstr>
      <vt:lpstr>BinhLuan</vt:lpstr>
      <vt:lpstr>DatHangNhanh</vt:lpstr>
      <vt:lpstr>MuaHang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Thị Ánh Lê</cp:lastModifiedBy>
  <dcterms:created xsi:type="dcterms:W3CDTF">2024-05-03T07:38:53Z</dcterms:created>
  <dcterms:modified xsi:type="dcterms:W3CDTF">2026-04-30T09:11:01Z</dcterms:modified>
</cp:coreProperties>
</file>