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Đồ án 4\DoAn4\scripts\DoAn4_Bemori\AI\TestCase\"/>
    </mc:Choice>
  </mc:AlternateContent>
  <xr:revisionPtr revIDLastSave="0" documentId="13_ncr:1_{AFCA0C29-B3F0-4AEC-ACC7-761FD28595A9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TimKiem" sheetId="1" r:id="rId1"/>
    <sheet name="BinhLuan" sheetId="2" r:id="rId2"/>
    <sheet name="DatHangNhanh" sheetId="3" r:id="rId3"/>
    <sheet name="MuaHang" sheetId="4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4" l="1"/>
  <c r="F2" i="4"/>
  <c r="E2" i="4"/>
  <c r="D2" i="4"/>
  <c r="F1" i="4"/>
  <c r="E1" i="4"/>
  <c r="D1" i="4"/>
  <c r="D3" i="3"/>
  <c r="F2" i="3"/>
  <c r="E2" i="3"/>
  <c r="D2" i="3"/>
  <c r="F1" i="3"/>
  <c r="E1" i="3"/>
  <c r="D1" i="3"/>
  <c r="D3" i="2"/>
  <c r="F2" i="2"/>
  <c r="E2" i="2"/>
  <c r="D2" i="2"/>
  <c r="F1" i="2"/>
  <c r="E1" i="2"/>
  <c r="D1" i="2"/>
  <c r="D3" i="1"/>
  <c r="F2" i="1"/>
  <c r="E2" i="1"/>
  <c r="D2" i="1"/>
  <c r="F1" i="1"/>
  <c r="E1" i="1"/>
  <c r="D1" i="1"/>
</calcChain>
</file>

<file path=xl/sharedStrings.xml><?xml version="1.0" encoding="utf-8"?>
<sst xmlns="http://schemas.openxmlformats.org/spreadsheetml/2006/main" count="182" uniqueCount="92">
  <si>
    <t>Back to TestReport</t>
  </si>
  <si>
    <t>To Buglist</t>
  </si>
  <si>
    <t>Module Code</t>
  </si>
  <si>
    <t>TimKiem</t>
  </si>
  <si>
    <t>Tester</t>
  </si>
  <si>
    <t>Lê Thị Ánh</t>
  </si>
  <si>
    <t>Number of cases: 3</t>
  </si>
  <si>
    <t>ID</t>
  </si>
  <si>
    <t>Test Case Description</t>
  </si>
  <si>
    <t>Pre -Condition</t>
  </si>
  <si>
    <t>Test Case Procedure</t>
  </si>
  <si>
    <t>Expected Output</t>
  </si>
  <si>
    <t>Actual Output</t>
  </si>
  <si>
    <t>Status</t>
  </si>
  <si>
    <t>Test date</t>
  </si>
  <si>
    <t>Note</t>
  </si>
  <si>
    <t>TC_001</t>
  </si>
  <si>
    <t>Kiểm thử chức năng tìm kiếm khi nhập từ khóa hợp lệ.</t>
  </si>
  <si>
    <t>Hệ thống hiển thị trang cửa hàng.</t>
  </si>
  <si>
    <t>Step 1: Người dùng nhập từ khóa tìm kiếm vào ô tìm kiếm.
Step 2: Người dùng nhấn nút "Tìm kiếm".
Step 3: Kiểm tra danh sách sản phẩm phù hợp với từ khóa đã hiển thị.</t>
  </si>
  <si>
    <t>Hệ thống hiển thị danh sách các sản phẩm khớp với từ khóa tìm kiếm.</t>
  </si>
  <si>
    <t>18/05/2026</t>
  </si>
  <si>
    <t>TC_002</t>
  </si>
  <si>
    <t>Kiểm thử chức năng tìm kiếm khi người dùng không nhập từ khóa.</t>
  </si>
  <si>
    <t>Step 1: Người dùng không nhập bất kỳ ký tự nào vào ô tìm kiếm.
Step 2: Người dùng nhấn nút "Tìm kiếm".
Step 3: Kiểm tra danh sách toàn bộ sản phẩm trong cửa hàng được hiển thị.</t>
  </si>
  <si>
    <t>Hệ thống hiển thị toàn bộ danh sách sản phẩm có sẵn trong cửa hàng.</t>
  </si>
  <si>
    <t>TC_003</t>
  </si>
  <si>
    <t>Kiểm thử chức năng tìm kiếm khi không có sản phẩm phù hợp.</t>
  </si>
  <si>
    <t>Step 1: Người dùng nhập từ khóa tìm kiếm vào ô tìm kiếm.
Step 2: Người dùng nhấn nút "Tìm kiếm".
Step 3: Kiểm tra thông báo "Không tìm thấy sản phẩm nào khớp với lựa chọn của bạn.".</t>
  </si>
  <si>
    <t>"Không tìm thấy sản phẩm nào khớp với lựa chọn của bạn."</t>
  </si>
  <si>
    <t>BinhLuan</t>
  </si>
  <si>
    <t>Number of cases: 6</t>
  </si>
  <si>
    <t>Kiểm tra gửi bình luận thành công khi nhập đầy đủ thông tin.</t>
  </si>
  <si>
    <t>Hệ thống đang mở trang chi tiết sản phẩm.</t>
  </si>
  <si>
    <t>Step 1: Truy cập vào trang chi tiết sản phẩm.
Step 2: Nhập nội dung bình luận vào ô "Bình luận".
Step 3: Nhập họ tên vào ô "Họ và tên".
Step 4: Nhập số điện thoại hợp lệ vào ô "Số điện thoại".
Step 5: Nhấn nút "Gửi bình luận".
Step 6: Kiểm tra thông báo "Gửi bình luận thành công." hiển thị.</t>
  </si>
  <si>
    <t>"Gửi bình luận thành công." được hiển thị trên giao diện.</t>
  </si>
  <si>
    <t>19/05/2026</t>
  </si>
  <si>
    <t>Kiểm tra thông báo khi không nhập nội dung bình luận.</t>
  </si>
  <si>
    <t>Step 1: Truy cập vào trang chi tiết sản phẩm.
Step 2: Không nhập nội dung bình luận vào ô "Bình luận".
Step 3: Nhập họ tên vào ô "Họ và tên".
Step 4: Nhập số điện thoại hợp lệ vào ô "Số điện thoại".
Step 5: Nhấn nút "Gửi bình luận".
Step 6: Kiểm tra thông báo "Bạn chưa nhập bình luận." hiển thị.</t>
  </si>
  <si>
    <t>"Bạn chưa nhập bình luận." được hiển thị trên giao diện.</t>
  </si>
  <si>
    <t>Kiểm tra thông báo khi không nhập họ tên.</t>
  </si>
  <si>
    <t>Step 1: Truy cập vào trang chi tiết sản phẩm.
Step 2: Nhập nội dung bình luận vào ô "Bình luận".
Step 3: Không nhập họ tên vào ô "Họ và tên".
Step 4: Nhập số điện thoại hợp lệ vào ô "Số điện thoại".
Step 5: Nhấn nút "Gửi bình luận".
Step 6: Kiểm tra thông báo "Bạn chưa nhập tên." hiển thị.</t>
  </si>
  <si>
    <t>"Bạn chưa nhập tên." được hiển thị trên giao diện.</t>
  </si>
  <si>
    <t>TC_004</t>
  </si>
  <si>
    <t>Kiểm tra thông báo khi không nhập số điện thoại.</t>
  </si>
  <si>
    <t>Step 1: Truy cập vào trang chi tiết sản phẩm.
Step 2: Nhập nội dung bình luận vào ô "Bình luận".
Step 3: Nhập họ tên vào ô "Họ và tên".
Step 4: Không nhập số điện thoại vào ô "Số điện thoại".
Step 5: Nhấn nút "Gửi bình luận".
Step 6: Kiểm tra thông báo "Bạn chưa nhập số điện thoại." hiển thị.</t>
  </si>
  <si>
    <t>"Bạn chưa nhập số điện thoại." được hiển thị trên giao diện.</t>
  </si>
  <si>
    <t>TC_005</t>
  </si>
  <si>
    <t>Kiểm tra thông báo khi nhập số điện thoại chứa ký tự không phải số.</t>
  </si>
  <si>
    <t>Step 1: Truy cập vào trang chi tiết sản phẩm.
Step 2: Nhập nội dung bình luận vào ô "Bình luận".
Step 3: Nhập họ tên vào ô "Họ và tên".
Step 4: Nhập số điện thoại chứa ký tự không phải số vào ô "Số điện thoại".
Step 5: Nhấn nút "Gửi bình luận".
Step 6: Kiểm tra thông báo "Số điện thoại chỉ bao gồm những số." hiển thị.</t>
  </si>
  <si>
    <t>"Số điện thoại chỉ bao gồm những số." được hiển thị trên giao diện.</t>
  </si>
  <si>
    <t>TC_006</t>
  </si>
  <si>
    <t>Kiểm tra thông báo khi nhập số điện thoại ít hơn 10 chữ số.</t>
  </si>
  <si>
    <t>Step 1: Truy cập vào trang chi tiết sản phẩm.
Step 2: Nhập nội dung bình luận vào ô "Bình luận".
Step 3: Nhập họ tên vào ô "Họ và tên".
Step 4: Nhập số điện thoại có ít hơn 10 chữ số vào ô "Số điện thoại".
Step 5: Nhấn nút "Gửi bình luận".
Step 6: Kiểm tra thông báo "Số điện thoại phải có ít nhất 10 số." hiển thị.</t>
  </si>
  <si>
    <t>"Số điện thoại phải có ít nhất 10 số." được hiển thị trên giao diện.</t>
  </si>
  <si>
    <t>DatHangNhanh</t>
  </si>
  <si>
    <t>Number of cases: 4</t>
  </si>
  <si>
    <t>Kiểm tra chức năng đặt hàng nhanh khi nhập số điện thoại hợp lệ.</t>
  </si>
  <si>
    <t>Hệ thống đã mở trang chi tiết sản phẩm.</t>
  </si>
  <si>
    <t>Step 1: Truy cập vào trang chi tiết sản phẩm.
Step 2: Nhập số điện thoại hợp lệ vào ô số điện thoại.
Step 3: Nhấn nút "Gửi".
Step 4: Kiểm tra thông báo "Cảm ơn bạn đã đặt hàng, vui lòng check lại đơn hàng trong messenger." hiển thị.</t>
  </si>
  <si>
    <t>"Cảm ơn bạn đã đặt hàng, vui lòng check lại đơn hàng trong messenger."</t>
  </si>
  <si>
    <t>23/05/2026</t>
  </si>
  <si>
    <t>Kiểm tra thông báo khi số điện thoại rỗng.</t>
  </si>
  <si>
    <t>Step 1: Truy cập vào trang chi tiết sản phẩm.
Step 2: Không nhập dữ liệu vào ô số điện thoại.
Step 3: Nhấn nút "Gửi".
Step 4: Kiểm tra thông báo "Bạn chưa nhập số điện thoại." hiển thị.</t>
  </si>
  <si>
    <t>"Bạn chưa nhập số điện thoại."</t>
  </si>
  <si>
    <t>Kiểm tra thông báo khi số điện thoại chứa ký tự không phải số.</t>
  </si>
  <si>
    <t>Step 1: Truy cập vào trang chi tiết sản phẩm.
Step 2: Nhập số điện thoại có ký tự không phải số vào ô số điện thoại.
Step 3: Nhấn nút "Gửi".
Step 4: Kiểm tra thông báo "Số điện thoại chỉ bao gồm những số." hiển thị.</t>
  </si>
  <si>
    <t>"Số điện thoại chỉ bao gồm những số."</t>
  </si>
  <si>
    <t>Kiểm tra thông báo khi số điện thoại có ít hơn 10 chữ số.</t>
  </si>
  <si>
    <t>Step 1: Truy cập vào trang chi tiết sản phẩm.
Step 2: Nhập số điện thoại có ít hơn 10 chữ số vào ô số điện thoại.
Step 3: Nhấn nút "Gửi".
Step 4: Kiểm tra thông báo "Số điện thoại phải có ít nhất 10 số." hiển thị.</t>
  </si>
  <si>
    <t>"Số điện thoại phải có ít nhất 10 số."</t>
  </si>
  <si>
    <t>MuaHang</t>
  </si>
  <si>
    <t>Mua hàng thành công khi tất cả thông tin hợp lệ</t>
  </si>
  <si>
    <t>Người dùng đang ở trang chủ</t>
  </si>
  <si>
    <t>Step 1: Truy cập vào trang chi tiết sản phẩm
Step 2: Nhấn nút "Mua hàng"
Step 3: Nhập họ và tên người mua
Step 4: Nhập số điện thoại
Step 5: Nhập địa chỉ nhận hàng
Step 6: Nhập yêu cầu thêm (nếu có)
Step 7: Nhấn nút "Mua"
Step 8: Kiểm tra dữ liệu nhập</t>
  </si>
  <si>
    <t>Hệ thống gửi thông tin đơn hàng
Hiển thị thông báo chứa “Cảm ơn bạn đã đặt hàng, vui lòng check lại đơn hàng trong messenger.”</t>
  </si>
  <si>
    <t>17/05/2026</t>
  </si>
  <si>
    <t>Không nhập họ và tên người mua</t>
  </si>
  <si>
    <t>Step 1: Truy cập vào trang chi tiết sản phẩm
Step 2: Nhấn nút "Mua hàng"
Step 3: Không nhập họ và tên người mua
Step 4: Nhập số điện thoại
Step 5: Nhập địa chỉ nhận hàng
Step 6: Nhấn nút "Mua"</t>
  </si>
  <si>
    <t>Hệ thống hiển thị thông báo "Bạn chưa nhập họ và tên người mua."</t>
  </si>
  <si>
    <t>Không nhập số điện thoại</t>
  </si>
  <si>
    <t>Step 1: Truy cập vào trang chi tiết sản phẩm
Step 2: Nhấn nút "Mua hàng"
Step 3: Nhập họ và tên người mua
Step 4: Không nhập số điện thoại
Step 5: Nhập địa chỉ nhận hàng
Step 6: Nhấn nút "Mua"</t>
  </si>
  <si>
    <t>Hệ thống hiển thị thông báo "Bạn chưa nhập số điện thoại."</t>
  </si>
  <si>
    <t>Số điện thoại chứa ký tự không phải số</t>
  </si>
  <si>
    <t>Step 1: Truy cập vào trang chi tiết sản phẩm
Step 2: Nhấn nút "Mua hàng"
Step 3: Nhập họ và tên người mua
Step 4: Nhập số điện thoại chứa ký tự không phải số
Step 5: Nhập địa chỉ nhận hàng
Step 6: Nhấn nút "Mua"</t>
  </si>
  <si>
    <t>Hệ thống hiển thị thông báo "Số điện thoại chỉ bao gồm những số."</t>
  </si>
  <si>
    <t>Số điện thoại ít hơn 10 chữ số</t>
  </si>
  <si>
    <t>Step 1: Truy cập vào trang chi tiết sản phẩm
Step 2: Nhấn nút "Mua hàng"
Step 3: Nhập họ và tên người mua
Step 4: Nhập số điện thoại có ít hơn 10 chữ số
Step 5: Nhập địa chỉ nhận hàng
Step 6: Nhấn nút "Mua"</t>
  </si>
  <si>
    <t>Hệ thống hiển thị thông báo "Số điện thoại phải có ít nhất 10 số."</t>
  </si>
  <si>
    <t>Không nhập địa chỉ nhận hàng</t>
  </si>
  <si>
    <t>Step 1: Truy cập vào trang chi tiết sản phẩm
Step 2: Nhấn nút "Mua hàng"
Step 3: Nhập họ và tên người mua
Step 4: Nhập số điện thoại
Step 5: Không nhập địa chỉ nhận hàng
Step 6: Nhấn nút "Mua"</t>
  </si>
  <si>
    <t>Hệ thống hiển thị thông báo "Bạn chưa nhập địa chỉ nhận hàng."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</si>
</sst>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ＭＳ Ｐゴシック"/>
      <family val="2"/>
      <charset val="128"/>
    </font>
    <font>
      <u/>
      <sz val="11"/>
      <color indexed="12"/>
      <name val="ＭＳ Ｐゴシック"/>
      <family val="3"/>
      <charset val="128"/>
    </font>
    <font>
      <b/>
      <u/>
      <sz val="8"/>
      <color indexed="12"/>
      <name val="Tahoma"/>
      <family val="2"/>
    </font>
    <font>
      <sz val="11"/>
      <name val="ＭＳ Ｐゴシック"/>
      <family val="2"/>
      <charset val="128"/>
    </font>
    <font>
      <sz val="8"/>
      <name val="Tahoma"/>
      <family val="2"/>
    </font>
    <font>
      <b/>
      <sz val="8"/>
      <name val="Tahoma"/>
      <family val="2"/>
    </font>
    <font>
      <b/>
      <sz val="8"/>
      <color indexed="9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4" fillId="0" borderId="0" xfId="0" applyFont="1"/>
    <xf numFmtId="0" fontId="5" fillId="2" borderId="1" xfId="2" applyFont="1" applyFill="1" applyBorder="1" applyAlignment="1">
      <alignment horizontal="left" vertical="top" wrapText="1"/>
    </xf>
    <xf numFmtId="0" fontId="4" fillId="2" borderId="1" xfId="2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2" borderId="0" xfId="0" applyNumberFormat="1" applyFont="1" applyFill="1" applyAlignment="1">
      <alignment vertical="top" wrapText="1"/>
    </xf>
    <xf numFmtId="0" fontId="6" fillId="3" borderId="1" xfId="2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 wrapText="1"/>
    </xf>
    <xf numFmtId="16" fontId="4" fillId="4" borderId="1" xfId="0" applyNumberFormat="1" applyFont="1" applyFill="1" applyBorder="1" applyAlignment="1">
      <alignment vertical="top"/>
    </xf>
    <xf numFmtId="0" fontId="4" fillId="4" borderId="0" xfId="0" applyFont="1" applyFill="1"/>
    <xf numFmtId="0" fontId="4" fillId="4" borderId="1" xfId="0" quotePrefix="1" applyFont="1" applyFill="1" applyBorder="1" applyAlignment="1">
      <alignment vertical="top" wrapText="1"/>
    </xf>
  </cellXfs>
  <cellStyles count="3">
    <cellStyle name="Hyperlink" xfId="1" builtinId="8"/>
    <cellStyle name="Normal" xfId="0" builtinId="0"/>
    <cellStyle name="Normal_Sheet1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ER\Desktop\Sample_Test%20C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zoomScaleNormal="100" workbookViewId="0">
      <pane ySplit="4" topLeftCell="A5" activePane="bottomLeft" state="frozen"/>
      <selection pane="bottomLeft" activeCell="D16" sqref="D16"/>
    </sheetView>
  </sheetViews>
  <sheetFormatPr defaultColWidth="9" defaultRowHeight="13.2"/>
  <cols>
    <col min="1" max="1" width="12" style="5" customWidth="1"/>
    <col min="2" max="2" width="40" style="5" bestFit="1" customWidth="1"/>
    <col min="3" max="3" width="30" style="5" customWidth="1"/>
    <col min="4" max="4" width="45" style="5" customWidth="1"/>
    <col min="5" max="5" width="45" customWidth="1"/>
    <col min="6" max="6" width="25" customWidth="1"/>
    <col min="7" max="7" width="12" style="5" customWidth="1"/>
    <col min="8" max="8" width="15" style="5" customWidth="1"/>
    <col min="9" max="9" width="25" style="5" customWidth="1"/>
    <col min="10" max="18" width="9" style="5" customWidth="1"/>
    <col min="19" max="16384" width="9" style="5"/>
  </cols>
  <sheetData>
    <row r="1" spans="1:9" ht="12.75" customHeight="1">
      <c r="A1" s="1" t="s">
        <v>0</v>
      </c>
      <c r="B1" s="1" t="s">
        <v>1</v>
      </c>
      <c r="C1" s="1"/>
      <c r="D1" s="2" t="e">
        <f>"Pass: "&amp;COUNTIF(#REF!,"Pass")</f>
        <v>#REF!</v>
      </c>
      <c r="E1" s="3" t="e">
        <f>"Untested: "&amp;COUNTIF(#REF!,"Untest")</f>
        <v>#REF!</v>
      </c>
      <c r="F1" s="3" t="e">
        <f>"Untested: "&amp;COUNTIF(#REF!,"Untest")</f>
        <v>#REF!</v>
      </c>
      <c r="G1" s="4"/>
    </row>
    <row r="2" spans="1:9" ht="12.75" customHeight="1">
      <c r="A2" s="6" t="s">
        <v>2</v>
      </c>
      <c r="B2" s="7" t="s">
        <v>3</v>
      </c>
      <c r="C2" s="7"/>
      <c r="D2" s="2" t="e">
        <f>"Fail: "&amp;COUNTIF(#REF!,"Fail")</f>
        <v>#REF!</v>
      </c>
      <c r="E2" s="3" t="e">
        <f>"N/A: "&amp;COUNTIF(#REF!,"N/A")</f>
        <v>#REF!</v>
      </c>
      <c r="F2" s="3" t="e">
        <f>"N/A: "&amp;COUNTIF(#REF!,"N/A")</f>
        <v>#REF!</v>
      </c>
      <c r="G2" s="4"/>
    </row>
    <row r="3" spans="1:9" ht="12.75" customHeight="1">
      <c r="A3" s="6" t="s">
        <v>4</v>
      </c>
      <c r="B3" s="6" t="s">
        <v>5</v>
      </c>
      <c r="C3" s="6"/>
      <c r="D3" s="2" t="e">
        <f>"Percent Complete: "&amp;ROUND((COUNTIF(#REF!,"Pass")*100)/((COUNTA($A$5:$A$973)*5)-COUNTIF(#REF!,"N/A")),2)&amp;"%"</f>
        <v>#REF!</v>
      </c>
      <c r="E3" s="8" t="s">
        <v>6</v>
      </c>
      <c r="F3" s="8" t="s">
        <v>6</v>
      </c>
      <c r="G3" s="9"/>
    </row>
    <row r="4" spans="1:9" ht="28.35" customHeight="1">
      <c r="A4" s="10" t="s">
        <v>7</v>
      </c>
      <c r="B4" s="10" t="s">
        <v>8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0" t="s">
        <v>14</v>
      </c>
      <c r="I4" s="10" t="s">
        <v>15</v>
      </c>
    </row>
    <row r="5" spans="1:9" s="14" customFormat="1" ht="45" customHeight="1">
      <c r="A5" s="12" t="s">
        <v>16</v>
      </c>
      <c r="B5" s="12" t="s">
        <v>17</v>
      </c>
      <c r="C5" s="15" t="s">
        <v>18</v>
      </c>
      <c r="D5" s="12" t="s">
        <v>19</v>
      </c>
      <c r="E5" s="12" t="s">
        <v>20</v>
      </c>
      <c r="F5" s="12"/>
      <c r="G5" s="12"/>
      <c r="H5" s="13" t="s">
        <v>21</v>
      </c>
      <c r="I5" s="11"/>
    </row>
    <row r="6" spans="1:9" ht="45" customHeight="1">
      <c r="A6" s="12" t="s">
        <v>22</v>
      </c>
      <c r="B6" s="12" t="s">
        <v>23</v>
      </c>
      <c r="C6" s="15" t="s">
        <v>18</v>
      </c>
      <c r="D6" s="12" t="s">
        <v>24</v>
      </c>
      <c r="E6" s="12" t="s">
        <v>25</v>
      </c>
      <c r="F6" s="12"/>
      <c r="G6" s="12"/>
      <c r="H6" s="13" t="s">
        <v>21</v>
      </c>
      <c r="I6" s="11"/>
    </row>
    <row r="7" spans="1:9" ht="45" customHeight="1">
      <c r="A7" s="12" t="s">
        <v>26</v>
      </c>
      <c r="B7" s="12" t="s">
        <v>27</v>
      </c>
      <c r="C7" s="15" t="s">
        <v>18</v>
      </c>
      <c r="D7" s="12" t="s">
        <v>28</v>
      </c>
      <c r="E7" s="12" t="s">
        <v>29</v>
      </c>
      <c r="F7" s="12"/>
      <c r="G7" s="12"/>
      <c r="H7" s="13" t="s">
        <v>21</v>
      </c>
      <c r="I7" s="11"/>
    </row>
    <row r="8" spans="1:9" ht="60" customHeight="1"/>
    <row r="9" spans="1:9" ht="60" customHeight="1"/>
    <row r="10" spans="1:9" ht="60" customHeight="1"/>
  </sheetData>
  <hyperlinks>
    <hyperlink ref="A1" location="'Test report'!A1" display="Back to TestReport" xr:uid="{00000000-0004-0000-0000-000000000000}"/>
    <hyperlink ref="B1" location="BugList!A1" display="To Buglist" xr:uid="{00000000-0004-0000-0000-000001000000}"/>
  </hyperlinks>
  <pageMargins left="0.78749999999999998" right="0.78749999999999998" top="1.052777777777778" bottom="1.052777777777778" header="0.78749999999999998" footer="0.78749999999999998"/>
  <pageSetup firstPageNumber="0" orientation="portrait" horizontalDpi="300" verticalDpi="300"/>
  <headerFooter alignWithMargins="0">
    <oddHeader>&amp;C&amp;"Times New Roman,Chuẩn"&amp;12 &amp;A</oddHeader>
    <oddFooter>&amp;C&amp;"Times New Roman,Chuẩn"&amp;12 Trang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/>
  </sheetViews>
  <sheetFormatPr defaultColWidth="9" defaultRowHeight="13.2"/>
  <cols>
    <col min="1" max="1" width="12" style="5" customWidth="1"/>
    <col min="2" max="2" width="40" style="5" bestFit="1" customWidth="1"/>
    <col min="3" max="3" width="30" style="5" customWidth="1"/>
    <col min="4" max="4" width="45" style="5" customWidth="1"/>
    <col min="5" max="5" width="45" customWidth="1"/>
    <col min="6" max="6" width="25" customWidth="1"/>
    <col min="7" max="7" width="12" style="5" customWidth="1"/>
    <col min="8" max="8" width="15" style="5" customWidth="1"/>
    <col min="9" max="9" width="25" style="5" customWidth="1"/>
    <col min="10" max="18" width="9" style="5" customWidth="1"/>
    <col min="19" max="16384" width="9" style="5"/>
  </cols>
  <sheetData>
    <row r="1" spans="1:9" ht="12.75" customHeight="1">
      <c r="A1" s="1" t="s">
        <v>0</v>
      </c>
      <c r="B1" s="1" t="s">
        <v>1</v>
      </c>
      <c r="C1" s="1"/>
      <c r="D1" s="2" t="e">
        <f>"Pass: "&amp;COUNTIF(#REF!,"Pass")</f>
        <v>#REF!</v>
      </c>
      <c r="E1" s="3" t="e">
        <f>"Untested: "&amp;COUNTIF(#REF!,"Untest")</f>
        <v>#REF!</v>
      </c>
      <c r="F1" s="3" t="e">
        <f>"Untested: "&amp;COUNTIF(#REF!,"Untest")</f>
        <v>#REF!</v>
      </c>
      <c r="G1" s="4"/>
    </row>
    <row r="2" spans="1:9" ht="12.75" customHeight="1">
      <c r="A2" s="6" t="s">
        <v>2</v>
      </c>
      <c r="B2" s="7" t="s">
        <v>30</v>
      </c>
      <c r="C2" s="7"/>
      <c r="D2" s="2" t="e">
        <f>"Fail: "&amp;COUNTIF(#REF!,"Fail")</f>
        <v>#REF!</v>
      </c>
      <c r="E2" s="3" t="e">
        <f>"N/A: "&amp;COUNTIF(#REF!,"N/A")</f>
        <v>#REF!</v>
      </c>
      <c r="F2" s="3" t="e">
        <f>"N/A: "&amp;COUNTIF(#REF!,"N/A")</f>
        <v>#REF!</v>
      </c>
      <c r="G2" s="4"/>
    </row>
    <row r="3" spans="1:9" ht="12.75" customHeight="1">
      <c r="A3" s="6" t="s">
        <v>4</v>
      </c>
      <c r="B3" s="6" t="s">
        <v>5</v>
      </c>
      <c r="C3" s="6"/>
      <c r="D3" s="2" t="e">
        <f>"Percent Complete: "&amp;ROUND((COUNTIF(#REF!,"Pass")*100)/((COUNTA($A$5:$A$973)*5)-COUNTIF(#REF!,"N/A")),2)&amp;"%"</f>
        <v>#REF!</v>
      </c>
      <c r="E3" s="8" t="s">
        <v>31</v>
      </c>
      <c r="F3" s="8" t="s">
        <v>31</v>
      </c>
      <c r="G3" s="9"/>
    </row>
    <row r="4" spans="1:9" ht="28.35" customHeight="1">
      <c r="A4" s="10" t="s">
        <v>7</v>
      </c>
      <c r="B4" s="10" t="s">
        <v>8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0" t="s">
        <v>14</v>
      </c>
      <c r="I4" s="10" t="s">
        <v>15</v>
      </c>
    </row>
    <row r="5" spans="1:9" s="14" customFormat="1" ht="90" customHeight="1">
      <c r="A5" s="12" t="s">
        <v>16</v>
      </c>
      <c r="B5" s="12" t="s">
        <v>32</v>
      </c>
      <c r="C5" s="15" t="s">
        <v>33</v>
      </c>
      <c r="D5" s="12" t="s">
        <v>34</v>
      </c>
      <c r="E5" s="12" t="s">
        <v>35</v>
      </c>
      <c r="F5" s="12"/>
      <c r="G5" s="12"/>
      <c r="H5" s="13" t="s">
        <v>36</v>
      </c>
      <c r="I5" s="11"/>
    </row>
    <row r="6" spans="1:9" ht="90" customHeight="1">
      <c r="A6" s="12" t="s">
        <v>22</v>
      </c>
      <c r="B6" s="12" t="s">
        <v>37</v>
      </c>
      <c r="C6" s="15" t="s">
        <v>33</v>
      </c>
      <c r="D6" s="12" t="s">
        <v>38</v>
      </c>
      <c r="E6" s="12" t="s">
        <v>39</v>
      </c>
      <c r="F6" s="12"/>
      <c r="G6" s="12"/>
      <c r="H6" s="13" t="s">
        <v>36</v>
      </c>
      <c r="I6" s="11"/>
    </row>
    <row r="7" spans="1:9" ht="90" customHeight="1">
      <c r="A7" s="12" t="s">
        <v>26</v>
      </c>
      <c r="B7" s="12" t="s">
        <v>40</v>
      </c>
      <c r="C7" s="15" t="s">
        <v>33</v>
      </c>
      <c r="D7" s="12" t="s">
        <v>41</v>
      </c>
      <c r="E7" s="12" t="s">
        <v>42</v>
      </c>
      <c r="F7" s="12"/>
      <c r="G7" s="12"/>
      <c r="H7" s="13" t="s">
        <v>36</v>
      </c>
      <c r="I7" s="11"/>
    </row>
    <row r="8" spans="1:9" ht="90" customHeight="1">
      <c r="A8" s="12" t="s">
        <v>43</v>
      </c>
      <c r="B8" s="12" t="s">
        <v>44</v>
      </c>
      <c r="C8" s="12" t="s">
        <v>33</v>
      </c>
      <c r="D8" s="12" t="s">
        <v>45</v>
      </c>
      <c r="E8" s="12" t="s">
        <v>46</v>
      </c>
      <c r="F8" s="12"/>
      <c r="G8" s="12"/>
      <c r="H8" s="13" t="s">
        <v>36</v>
      </c>
      <c r="I8" s="11"/>
    </row>
    <row r="9" spans="1:9" ht="90" customHeight="1">
      <c r="A9" s="12" t="s">
        <v>47</v>
      </c>
      <c r="B9" s="12" t="s">
        <v>48</v>
      </c>
      <c r="C9" s="12" t="s">
        <v>33</v>
      </c>
      <c r="D9" s="12" t="s">
        <v>49</v>
      </c>
      <c r="E9" s="12" t="s">
        <v>50</v>
      </c>
      <c r="F9" s="12"/>
      <c r="G9" s="12"/>
      <c r="H9" s="13" t="s">
        <v>36</v>
      </c>
      <c r="I9" s="11"/>
    </row>
    <row r="10" spans="1:9" ht="90" customHeight="1">
      <c r="A10" s="12" t="s">
        <v>51</v>
      </c>
      <c r="B10" s="12" t="s">
        <v>52</v>
      </c>
      <c r="C10" s="12" t="s">
        <v>33</v>
      </c>
      <c r="D10" s="12" t="s">
        <v>53</v>
      </c>
      <c r="E10" s="12" t="s">
        <v>54</v>
      </c>
      <c r="F10" s="12"/>
      <c r="G10" s="12"/>
      <c r="H10" s="13" t="s">
        <v>36</v>
      </c>
      <c r="I10" s="11"/>
    </row>
  </sheetData>
  <hyperlinks>
    <hyperlink ref="A1" location="'Test report'!A1" display="Back to TestReport" xr:uid="{00000000-0004-0000-0100-000000000000}"/>
    <hyperlink ref="B1" location="BugList!A1" display="To Buglist" xr:uid="{00000000-0004-0000-0100-000001000000}"/>
  </hyperlinks>
  <pageMargins left="0.78749999999999998" right="0.78749999999999998" top="1.052777777777778" bottom="1.052777777777778" header="0.78749999999999998" footer="0.78749999999999998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workbookViewId="0">
      <selection activeCell="B4" sqref="A1:I8"/>
    </sheetView>
  </sheetViews>
  <sheetFormatPr defaultColWidth="9" defaultRowHeight="13.2"/>
  <cols>
    <col min="1" max="1" width="12" style="5" customWidth="1"/>
    <col min="2" max="2" width="40" style="5" customWidth="1"/>
    <col min="3" max="3" width="30" style="5" customWidth="1"/>
    <col min="4" max="4" width="45" style="5" customWidth="1"/>
    <col min="5" max="5" width="45" customWidth="1"/>
    <col min="6" max="6" width="25" customWidth="1"/>
    <col min="7" max="7" width="12" style="5" customWidth="1"/>
    <col min="8" max="8" width="15" style="5" customWidth="1"/>
    <col min="9" max="9" width="25" style="5" customWidth="1"/>
    <col min="10" max="18" width="9" style="5" customWidth="1"/>
    <col min="19" max="16384" width="9" style="5"/>
  </cols>
  <sheetData>
    <row r="1" spans="1:9" ht="12.75" customHeight="1">
      <c r="A1" s="1" t="s">
        <v>0</v>
      </c>
      <c r="B1" s="1" t="s">
        <v>1</v>
      </c>
      <c r="C1" s="1"/>
      <c r="D1" s="2" t="e">
        <f>"Pass: "&amp;COUNTIF(#REF!,"Pass")</f>
        <v>#REF!</v>
      </c>
      <c r="E1" s="3" t="e">
        <f>"Untested: "&amp;COUNTIF(#REF!,"Untest")</f>
        <v>#REF!</v>
      </c>
      <c r="F1" s="3" t="e">
        <f>"Untested: "&amp;COUNTIF(#REF!,"Untest")</f>
        <v>#REF!</v>
      </c>
      <c r="G1" s="4"/>
    </row>
    <row r="2" spans="1:9" ht="12.75" customHeight="1">
      <c r="A2" s="6" t="s">
        <v>2</v>
      </c>
      <c r="B2" s="7" t="s">
        <v>55</v>
      </c>
      <c r="C2" s="7"/>
      <c r="D2" s="2" t="e">
        <f>"Fail: "&amp;COUNTIF(#REF!,"Fail")</f>
        <v>#REF!</v>
      </c>
      <c r="E2" s="3" t="e">
        <f>"N/A: "&amp;COUNTIF(#REF!,"N/A")</f>
        <v>#REF!</v>
      </c>
      <c r="F2" s="3" t="e">
        <f>"N/A: "&amp;COUNTIF(#REF!,"N/A")</f>
        <v>#REF!</v>
      </c>
      <c r="G2" s="4"/>
    </row>
    <row r="3" spans="1:9" ht="12.75" customHeight="1">
      <c r="A3" s="6" t="s">
        <v>4</v>
      </c>
      <c r="B3" s="6" t="s">
        <v>5</v>
      </c>
      <c r="C3" s="6"/>
      <c r="D3" s="2" t="e">
        <f>"Percent Complete: "&amp;ROUND((COUNTIF(#REF!,"Pass")*100)/((COUNTA($A$5:$A$973)*5)-COUNTIF(#REF!,"N/A")),2)&amp;"%"</f>
        <v>#REF!</v>
      </c>
      <c r="E3" s="8" t="s">
        <v>56</v>
      </c>
      <c r="F3" s="8" t="s">
        <v>56</v>
      </c>
      <c r="G3" s="9"/>
    </row>
    <row r="4" spans="1:9" ht="28.35" customHeight="1">
      <c r="A4" s="10" t="s">
        <v>7</v>
      </c>
      <c r="B4" s="10" t="s">
        <v>8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0" t="s">
        <v>14</v>
      </c>
      <c r="I4" s="10" t="s">
        <v>15</v>
      </c>
    </row>
    <row r="5" spans="1:9" s="14" customFormat="1" ht="60" customHeight="1">
      <c r="A5" s="12" t="s">
        <v>16</v>
      </c>
      <c r="B5" s="12" t="s">
        <v>57</v>
      </c>
      <c r="C5" s="15" t="s">
        <v>58</v>
      </c>
      <c r="D5" s="12" t="s">
        <v>59</v>
      </c>
      <c r="E5" s="12" t="s">
        <v>60</v>
      </c>
      <c r="F5" s="12"/>
      <c r="G5" s="12"/>
      <c r="H5" s="13" t="s">
        <v>61</v>
      </c>
      <c r="I5" s="11"/>
    </row>
    <row r="6" spans="1:9" ht="60" customHeight="1">
      <c r="A6" s="12" t="s">
        <v>22</v>
      </c>
      <c r="B6" s="12" t="s">
        <v>62</v>
      </c>
      <c r="C6" s="15" t="s">
        <v>58</v>
      </c>
      <c r="D6" s="12" t="s">
        <v>63</v>
      </c>
      <c r="E6" s="12" t="s">
        <v>64</v>
      </c>
      <c r="F6" s="12"/>
      <c r="G6" s="12"/>
      <c r="H6" s="13" t="s">
        <v>61</v>
      </c>
      <c r="I6" s="11"/>
    </row>
    <row r="7" spans="1:9" ht="60" customHeight="1">
      <c r="A7" s="12" t="s">
        <v>26</v>
      </c>
      <c r="B7" s="12" t="s">
        <v>65</v>
      </c>
      <c r="C7" s="15" t="s">
        <v>58</v>
      </c>
      <c r="D7" s="12" t="s">
        <v>66</v>
      </c>
      <c r="E7" s="12" t="s">
        <v>67</v>
      </c>
      <c r="F7" s="12"/>
      <c r="G7" s="12"/>
      <c r="H7" s="13" t="s">
        <v>61</v>
      </c>
      <c r="I7" s="11"/>
    </row>
    <row r="8" spans="1:9" ht="60" customHeight="1">
      <c r="A8" s="12" t="s">
        <v>43</v>
      </c>
      <c r="B8" s="12" t="s">
        <v>68</v>
      </c>
      <c r="C8" s="12" t="s">
        <v>58</v>
      </c>
      <c r="D8" s="12" t="s">
        <v>69</v>
      </c>
      <c r="E8" s="12" t="s">
        <v>70</v>
      </c>
      <c r="F8" s="12"/>
      <c r="G8" s="12"/>
      <c r="H8" s="13" t="s">
        <v>61</v>
      </c>
      <c r="I8" s="11"/>
    </row>
    <row r="9" spans="1:9" ht="60" customHeight="1"/>
    <row r="10" spans="1:9" ht="60" customHeight="1"/>
  </sheetData>
  <hyperlinks>
    <hyperlink ref="A1" location="'Test report'!A1" display="Back to TestReport" xr:uid="{00000000-0004-0000-0200-000000000000}"/>
    <hyperlink ref="B1" location="BugList!A1" display="To Buglist" xr:uid="{00000000-0004-0000-0200-000001000000}"/>
  </hyperlinks>
  <pageMargins left="0.78749999999999998" right="0.78749999999999998" top="1.052777777777778" bottom="1.052777777777778" header="0.78749999999999998" footer="0.78749999999999998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tabSelected="1" topLeftCell="B1" workbookViewId="0">
      <selection activeCell="F5" sqref="F5"/>
    </sheetView>
  </sheetViews>
  <sheetFormatPr defaultColWidth="9" defaultRowHeight="13.2"/>
  <cols>
    <col min="1" max="1" width="12" style="5" customWidth="1"/>
    <col min="2" max="2" width="40" style="5" bestFit="1" customWidth="1"/>
    <col min="3" max="3" width="30" style="5" customWidth="1"/>
    <col min="4" max="4" width="45" style="5" customWidth="1"/>
    <col min="5" max="5" width="45" customWidth="1"/>
    <col min="6" max="6" width="25" customWidth="1"/>
    <col min="7" max="7" width="12" style="5" customWidth="1"/>
    <col min="8" max="8" width="15" style="5" customWidth="1"/>
    <col min="9" max="9" width="25" style="5" customWidth="1"/>
    <col min="10" max="18" width="9" style="5" customWidth="1"/>
    <col min="19" max="16384" width="9" style="5"/>
  </cols>
  <sheetData>
    <row r="1" spans="1:9" ht="12.75" customHeight="1">
      <c r="A1" s="1" t="s">
        <v>0</v>
      </c>
      <c r="B1" s="1" t="s">
        <v>1</v>
      </c>
      <c r="C1" s="1"/>
      <c r="D1" s="2" t="e">
        <f>"Pass: "&amp;COUNTIF(#REF!,"Pass")</f>
        <v>#REF!</v>
      </c>
      <c r="E1" s="3" t="e">
        <f>"Untested: "&amp;COUNTIF(#REF!,"Untest")</f>
        <v>#REF!</v>
      </c>
      <c r="F1" s="3" t="e">
        <f>"Untested: "&amp;COUNTIF(#REF!,"Untest")</f>
        <v>#REF!</v>
      </c>
      <c r="G1" s="4"/>
    </row>
    <row r="2" spans="1:9" ht="12.75" customHeight="1">
      <c r="A2" s="6" t="s">
        <v>2</v>
      </c>
      <c r="B2" s="7" t="s">
        <v>71</v>
      </c>
      <c r="C2" s="7"/>
      <c r="D2" s="2" t="e">
        <f>"Fail: "&amp;COUNTIF(#REF!,"Fail")</f>
        <v>#REF!</v>
      </c>
      <c r="E2" s="3" t="e">
        <f>"N/A: "&amp;COUNTIF(#REF!,"N/A")</f>
        <v>#REF!</v>
      </c>
      <c r="F2" s="3" t="e">
        <f>"N/A: "&amp;COUNTIF(#REF!,"N/A")</f>
        <v>#REF!</v>
      </c>
      <c r="G2" s="4"/>
    </row>
    <row r="3" spans="1:9" ht="12.75" customHeight="1">
      <c r="A3" s="6" t="s">
        <v>4</v>
      </c>
      <c r="B3" s="6" t="s">
        <v>5</v>
      </c>
      <c r="C3" s="6"/>
      <c r="D3" s="2" t="e">
        <f>"Percent Complete: "&amp;ROUND((COUNTIF(#REF!,"Pass")*100)/((COUNTA($A$5:$A$973)*5)-COUNTIF(#REF!,"N/A")),2)&amp;"%"</f>
        <v>#REF!</v>
      </c>
      <c r="E3" s="8" t="s">
        <v>31</v>
      </c>
      <c r="F3" s="8" t="s">
        <v>31</v>
      </c>
      <c r="G3" s="9"/>
    </row>
    <row r="4" spans="1:9" ht="28.35" customHeight="1">
      <c r="A4" s="10" t="s">
        <v>7</v>
      </c>
      <c r="B4" s="10" t="s">
        <v>8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0" t="s">
        <v>14</v>
      </c>
      <c r="I4" s="10" t="s">
        <v>15</v>
      </c>
    </row>
    <row r="5" spans="1:9" s="14" customFormat="1" ht="120" customHeight="1">
      <c r="A5" s="12" t="s">
        <v>16</v>
      </c>
      <c r="B5" s="12" t="s">
        <v>72</v>
      </c>
      <c r="C5" s="15" t="s">
        <v>73</v>
      </c>
      <c r="D5" s="12" t="s">
        <v>74</v>
      </c>
      <c r="E5" s="12" t="s">
        <v>75</v>
      </c>
      <c r="F5" s="12"/>
      <c r="G5" s="12"/>
      <c r="H5" s="13" t="s">
        <v>76</v>
      </c>
      <c r="I5" s="11"/>
    </row>
    <row r="6" spans="1:9" ht="90" customHeight="1">
      <c r="A6" s="12" t="s">
        <v>22</v>
      </c>
      <c r="B6" s="12" t="s">
        <v>77</v>
      </c>
      <c r="C6" s="15" t="s">
        <v>73</v>
      </c>
      <c r="D6" s="12" t="s">
        <v>78</v>
      </c>
      <c r="E6" s="12" t="s">
        <v>79</v>
      </c>
      <c r="F6" s="12"/>
      <c r="G6" s="12"/>
      <c r="H6" s="13" t="s">
        <v>76</v>
      </c>
      <c r="I6" s="11"/>
    </row>
    <row r="7" spans="1:9" ht="90" customHeight="1">
      <c r="A7" s="12" t="s">
        <v>26</v>
      </c>
      <c r="B7" s="12" t="s">
        <v>80</v>
      </c>
      <c r="C7" s="15" t="s">
        <v>73</v>
      </c>
      <c r="D7" s="12" t="s">
        <v>81</v>
      </c>
      <c r="E7" s="12" t="s">
        <v>82</v>
      </c>
      <c r="F7" s="12"/>
      <c r="G7" s="12"/>
      <c r="H7" s="13" t="s">
        <v>76</v>
      </c>
      <c r="I7" s="11"/>
    </row>
    <row r="8" spans="1:9" ht="90" customHeight="1">
      <c r="A8" s="12" t="s">
        <v>43</v>
      </c>
      <c r="B8" s="12" t="s">
        <v>83</v>
      </c>
      <c r="C8" s="12" t="s">
        <v>73</v>
      </c>
      <c r="D8" s="12" t="s">
        <v>84</v>
      </c>
      <c r="E8" s="12" t="s">
        <v>85</v>
      </c>
      <c r="F8" s="12"/>
      <c r="G8" s="12"/>
      <c r="H8" s="13" t="s">
        <v>76</v>
      </c>
      <c r="I8" s="11"/>
    </row>
    <row r="9" spans="1:9" ht="90" customHeight="1">
      <c r="A9" s="12" t="s">
        <v>47</v>
      </c>
      <c r="B9" s="12" t="s">
        <v>86</v>
      </c>
      <c r="C9" s="12" t="s">
        <v>73</v>
      </c>
      <c r="D9" s="12" t="s">
        <v>87</v>
      </c>
      <c r="E9" s="12" t="s">
        <v>88</v>
      </c>
      <c r="F9" s="12"/>
      <c r="G9" s="12"/>
      <c r="H9" s="13" t="s">
        <v>76</v>
      </c>
      <c r="I9" s="11"/>
    </row>
    <row r="10" spans="1:9" ht="90" customHeight="1">
      <c r="A10" s="12" t="s">
        <v>51</v>
      </c>
      <c r="B10" s="12" t="s">
        <v>89</v>
      </c>
      <c r="C10" s="12" t="s">
        <v>73</v>
      </c>
      <c r="D10" s="12" t="s">
        <v>90</v>
      </c>
      <c r="E10" s="12" t="s">
        <v>91</v>
      </c>
      <c r="F10" s="12"/>
      <c r="G10" s="12"/>
      <c r="H10" s="13" t="s">
        <v>76</v>
      </c>
      <c r="I10" s="11"/>
    </row>
  </sheetData>
  <hyperlinks>
    <hyperlink ref="A1" location="'Test report'!A1" display="Back to TestReport" xr:uid="{00000000-0004-0000-0300-000000000000}"/>
    <hyperlink ref="B1" location="BugList!A1" display="To Buglist" xr:uid="{00000000-0004-0000-0300-000001000000}"/>
  </hyperlinks>
  <pageMargins left="0.78749999999999998" right="0.78749999999999998" top="1.052777777777778" bottom="1.052777777777778" header="0.78749999999999998" footer="0.78749999999999998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TimKiem</vt:lpstr>
      <vt:lpstr>BinhLuan</vt:lpstr>
      <vt:lpstr>DatHangNhanh</vt:lpstr>
      <vt:lpstr>MuaHang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Thị Ánh Lê</cp:lastModifiedBy>
  <dcterms:created xsi:type="dcterms:W3CDTF">2024-05-03T07:38:53Z</dcterms:created>
  <dcterms:modified xsi:type="dcterms:W3CDTF">2026-05-25T02:19:08Z</dcterms:modified>
</cp:coreProperties>
</file>