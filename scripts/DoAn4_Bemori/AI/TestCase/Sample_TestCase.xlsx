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TimKiem" sheetId="1" state="visible" r:id="rId1"/>
    <sheet name="BinhLuan" sheetId="2" state="visible" r:id="rId2"/>
    <sheet name="DatHangNhanh" sheetId="3" state="visible" r:id="rId3"/>
    <sheet name="MuaHang" sheetId="4" state="visible" r:id="rId4"/>
  </sheets>
  <externalReferences>
    <externalReference r:id="rId5"/>
  </externalReferences>
  <definedNames>
    <definedName name="ACTION">#REF!</definedName>
    <definedName name="ACTION_1">#REF!</definedName>
    <definedName name="Excel_BuiltIn__FilterDatabase">#REF!</definedName>
    <definedName name="Excel_BuiltIn__FilterDatabase_1">#REF!</definedName>
    <definedName name="OLE_LINK31">'[1]Home page'!#REF!</definedName>
    <definedName name="OLE_LINK41">'[1]Home page'!#REF!</definedName>
    <definedName name="OLE_LINK43">'[1]Home page'!#REF!</definedName>
  </definedNames>
  <calcPr calcId="191029" fullCalcOnLoad="1"/>
</workbook>
</file>

<file path=xl/styles.xml><?xml version="1.0" encoding="utf-8"?>
<styleSheet xmlns="http://schemas.openxmlformats.org/spreadsheetml/2006/main">
  <numFmts count="0"/>
  <fonts count="7">
    <font>
      <name val="ＭＳ Ｐゴシック"/>
      <charset val="128"/>
      <family val="2"/>
      <sz val="11"/>
    </font>
    <font>
      <name val="ＭＳ Ｐゴシック"/>
      <charset val="128"/>
      <family val="3"/>
      <color indexed="12"/>
      <sz val="11"/>
      <u val="single"/>
    </font>
    <font>
      <name val="Tahoma"/>
      <family val="2"/>
      <b val="1"/>
      <color indexed="12"/>
      <sz val="8"/>
      <u val="single"/>
    </font>
    <font>
      <name val="ＭＳ Ｐゴシック"/>
      <charset val="128"/>
      <family val="2"/>
      <sz val="11"/>
    </font>
    <font>
      <name val="Tahoma"/>
      <family val="2"/>
      <sz val="8"/>
    </font>
    <font>
      <name val="Tahoma"/>
      <family val="2"/>
      <b val="1"/>
      <sz val="8"/>
    </font>
    <font>
      <name val="Tahoma"/>
      <family val="2"/>
      <b val="1"/>
      <color indexed="9"/>
      <sz val="8"/>
    </font>
  </fonts>
  <fills count="5">
    <fill>
      <patternFill/>
    </fill>
    <fill>
      <patternFill patternType="gray125"/>
    </fill>
    <fill>
      <patternFill patternType="solid">
        <fgColor indexed="22"/>
        <bgColor indexed="55"/>
      </patternFill>
    </fill>
    <fill>
      <patternFill patternType="solid">
        <fgColor indexed="18"/>
        <bgColor indexed="32"/>
      </patternFill>
    </fill>
    <fill>
      <patternFill patternType="solid">
        <fgColor theme="0"/>
        <bgColor indexed="64"/>
      </patternFill>
    </fill>
  </fills>
  <borders count="2">
    <border>
      <left/>
      <right/>
      <top/>
      <bottom/>
      <diagonal/>
    </border>
    <border>
      <left style="hair">
        <color indexed="8"/>
      </left>
      <right style="hair">
        <color indexed="8"/>
      </right>
      <top style="hair">
        <color indexed="8"/>
      </top>
      <bottom style="hair">
        <color indexed="8"/>
      </bottom>
      <diagonal/>
    </border>
  </borders>
  <cellStyleXfs count="3">
    <xf numFmtId="0" fontId="3" fillId="0" borderId="0"/>
    <xf numFmtId="0" fontId="1" fillId="0" borderId="0"/>
    <xf numFmtId="0" fontId="3" fillId="0" borderId="0"/>
  </cellStyleXfs>
  <cellXfs count="16">
    <xf numFmtId="0" fontId="0" fillId="0" borderId="0" pivotButton="0" quotePrefix="0" xfId="0"/>
    <xf numFmtId="0" fontId="2" fillId="2" borderId="1" applyAlignment="1" pivotButton="0" quotePrefix="0" xfId="1">
      <alignment horizontal="left" vertical="top" wrapText="1"/>
    </xf>
    <xf numFmtId="0" fontId="4" fillId="2" borderId="1" applyAlignment="1" pivotButton="0" quotePrefix="0" xfId="0">
      <alignment horizontal="left" vertical="top" wrapText="1"/>
    </xf>
    <xf numFmtId="0" fontId="4" fillId="2" borderId="1"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2" borderId="1" applyAlignment="1" pivotButton="0" quotePrefix="0" xfId="2">
      <alignment horizontal="left" vertical="top" wrapText="1"/>
    </xf>
    <xf numFmtId="0" fontId="4" fillId="2" borderId="1" applyAlignment="1" pivotButton="0" quotePrefix="0" xfId="2">
      <alignment horizontal="left" vertical="top" wrapText="1"/>
    </xf>
    <xf numFmtId="2" fontId="4" fillId="2" borderId="1" applyAlignment="1" pivotButton="0" quotePrefix="0" xfId="0">
      <alignment vertical="top" wrapText="1"/>
    </xf>
    <xf numFmtId="2" fontId="4" fillId="2" borderId="0" applyAlignment="1" pivotButton="0" quotePrefix="0" xfId="0">
      <alignment vertical="top" wrapText="1"/>
    </xf>
    <xf numFmtId="0" fontId="6" fillId="3" borderId="1" applyAlignment="1" pivotButton="0" quotePrefix="0" xfId="2">
      <alignment horizontal="center" vertical="center" wrapText="1"/>
    </xf>
    <xf numFmtId="0" fontId="4" fillId="4" borderId="1" applyAlignment="1" pivotButton="0" quotePrefix="0" xfId="0">
      <alignment vertical="top"/>
    </xf>
    <xf numFmtId="0" fontId="4" fillId="4" borderId="1" applyAlignment="1" pivotButton="0" quotePrefix="0" xfId="0">
      <alignment vertical="top" wrapText="1"/>
    </xf>
    <xf numFmtId="16" fontId="4" fillId="4" borderId="1" applyAlignment="1" pivotButton="0" quotePrefix="0" xfId="0">
      <alignment vertical="top"/>
    </xf>
    <xf numFmtId="0" fontId="4" fillId="4" borderId="0" pivotButton="0" quotePrefix="0" xfId="0"/>
    <xf numFmtId="0" fontId="4" fillId="4" borderId="1" applyAlignment="1" pivotButton="0" quotePrefix="1" xfId="0">
      <alignment vertical="top" wrapText="1"/>
    </xf>
  </cellXfs>
  <cellStyles count="3">
    <cellStyle name="Normal" xfId="0" builtinId="0"/>
    <cellStyle name="Hyperlink" xfId="1" builtinId="8"/>
    <cellStyle name="Normal_Sheet1"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file:///C:\Users\ACER\Desktop\Sample_Test%20Cases.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Test report"/>
      <sheetName val="Hybrid"/>
      <sheetName val="Home page"/>
      <sheetName val="ER"/>
      <sheetName val="Find a Doctor"/>
      <sheetName val="MFM-Login"/>
      <sheetName val="MFM-ForgotPassword"/>
      <sheetName val="MFM-CreateAcct"/>
      <sheetName val="MFM-ChangePassword"/>
      <sheetName val="MFM-CreateProfile"/>
      <sheetName val="MFM-DashboardDeleteAcct"/>
      <sheetName val="MFM-ViewEditDeleteProfile"/>
      <sheetName val="ECH Resources"/>
      <sheetName val="ECH news"/>
      <sheetName val="Visiting ECH"/>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7"/>
  <sheetViews>
    <sheetView tabSelected="1" zoomScaleNormal="100" workbookViewId="0">
      <pane ySplit="4" topLeftCell="A5" activePane="bottomLeft" state="frozen"/>
      <selection pane="bottomLeft" activeCell="D16" sqref="D16"/>
    </sheetView>
  </sheetViews>
  <sheetFormatPr baseColWidth="8" defaultColWidth="9" defaultRowHeight="13.2"/>
  <cols>
    <col width="12" customWidth="1" style="5" min="1" max="1"/>
    <col width="40" bestFit="1" customWidth="1" style="5" min="2" max="2"/>
    <col width="30" customWidth="1" style="5" min="3" max="3"/>
    <col width="45" customWidth="1" style="5" min="4" max="4"/>
    <col width="45" customWidth="1" min="5" max="5"/>
    <col width="25" customWidth="1" min="6" max="6"/>
    <col width="12" customWidth="1" style="5" min="7" max="7"/>
    <col width="15" customWidth="1" style="5" min="8" max="8"/>
    <col width="25" customWidth="1" style="5" min="9" max="9"/>
    <col width="9" customWidth="1" style="5" min="10" max="16"/>
    <col width="9" customWidth="1" style="5" min="17" max="16384"/>
  </cols>
  <sheetData>
    <row r="1" ht="12.75" customHeight="1">
      <c r="A1" s="1" t="inlineStr">
        <is>
          <t>Back to TestReport</t>
        </is>
      </c>
      <c r="B1" s="1" t="inlineStr">
        <is>
          <t>To Buglist</t>
        </is>
      </c>
      <c r="C1" s="1" t="n"/>
      <c r="D1" s="2">
        <f>"Pass: "&amp;COUNTIF(#REF!,"Pass")</f>
        <v/>
      </c>
      <c r="E1" s="3">
        <f>"Untested: "&amp;COUNTIF(#REF!,"Untest")</f>
        <v/>
      </c>
      <c r="F1" s="3">
        <f>"Untested: "&amp;COUNTIF(#REF!,"Untest")</f>
        <v/>
      </c>
      <c r="G1" s="4" t="n"/>
    </row>
    <row r="2" ht="12.75" customHeight="1">
      <c r="A2" s="6" t="inlineStr">
        <is>
          <t>Module Code</t>
        </is>
      </c>
      <c r="B2" s="7" t="inlineStr">
        <is>
          <t>TimKiem</t>
        </is>
      </c>
      <c r="C2" s="7" t="n"/>
      <c r="D2" s="2">
        <f>"Fail: "&amp;COUNTIF(#REF!,"Fail")</f>
        <v/>
      </c>
      <c r="E2" s="3">
        <f>"N/A: "&amp;COUNTIF(#REF!,"N/A")</f>
        <v/>
      </c>
      <c r="F2" s="3">
        <f>"N/A: "&amp;COUNTIF(#REF!,"N/A")</f>
        <v/>
      </c>
      <c r="G2" s="4" t="n"/>
    </row>
    <row r="3" ht="12.75" customHeight="1">
      <c r="A3" s="6" t="inlineStr">
        <is>
          <t>Tester</t>
        </is>
      </c>
      <c r="B3" s="6" t="inlineStr">
        <is>
          <t>Lê Thị Ánh</t>
        </is>
      </c>
      <c r="C3" s="6" t="n"/>
      <c r="D3" s="2">
        <f>"Percent Complete: "&amp;ROUND((COUNTIF(#REF!,"Pass")*100)/((COUNTA($A$5:$A$973)*5)-COUNTIF(#REF!,"N/A")),2)&amp;"%"</f>
        <v/>
      </c>
      <c r="E3" s="8" t="inlineStr">
        <is>
          <t>Number of cases: 3</t>
        </is>
      </c>
      <c r="F3" s="8" t="inlineStr">
        <is>
          <t>Number of cases: 3</t>
        </is>
      </c>
      <c r="G3" s="9" t="n"/>
    </row>
    <row r="4" ht="28.35" customHeight="1">
      <c r="A4" s="10" t="inlineStr">
        <is>
          <t>ID</t>
        </is>
      </c>
      <c r="B4" s="10" t="inlineStr">
        <is>
          <t>Test Case Description</t>
        </is>
      </c>
      <c r="C4" s="10" t="inlineStr">
        <is>
          <t>Pre -Condition</t>
        </is>
      </c>
      <c r="D4" s="10" t="inlineStr">
        <is>
          <t>Test Case Procedure</t>
        </is>
      </c>
      <c r="E4" s="10" t="inlineStr">
        <is>
          <t>Expected Output</t>
        </is>
      </c>
      <c r="F4" s="10" t="inlineStr">
        <is>
          <t>Actual Output</t>
        </is>
      </c>
      <c r="G4" s="10" t="inlineStr">
        <is>
          <t>Status</t>
        </is>
      </c>
      <c r="H4" s="10" t="inlineStr">
        <is>
          <t>Test date</t>
        </is>
      </c>
      <c r="I4" s="10" t="inlineStr">
        <is>
          <t>Note</t>
        </is>
      </c>
    </row>
    <row r="5" ht="60" customFormat="1" customHeight="1" s="14">
      <c r="A5" s="12" t="inlineStr">
        <is>
          <t>TC_001</t>
        </is>
      </c>
      <c r="B5" s="12" t="inlineStr">
        <is>
          <t>Kiểm thử tìm kiếm sản phẩm với từ khóa hợp lệ</t>
        </is>
      </c>
      <c r="C5" s="15" t="inlineStr">
        <is>
          <t>Người dùng đang ở trang chủ</t>
        </is>
      </c>
      <c r="D5" s="12" t="inlineStr">
        <is>
          <t>Step 1: Nhập từ khóa tìm kiếm vào ô tìm kiếm
Step 2: Nhấn nút tìm kiếm
Step 3: Kiểm tra danh sách sản phẩm hiển thị
Step 4: Kiểm tra mỗi mục trong danh sách có chứa từ khóa đã nhập</t>
        </is>
      </c>
      <c r="E5" s="12" t="inlineStr">
        <is>
          <t>Sau khi nhấn nút, hệ thống xử lý yêu cầu và hiện ra danh sách các sản phẩm phù hợp
Mỗi mục trên danh sách phải hiển thị tên, hình ảnh và giá của sản phẩm liên quan đến từ khóa</t>
        </is>
      </c>
      <c r="F5" s="12" t="n"/>
      <c r="G5" s="12" t="n"/>
      <c r="H5" s="13" t="inlineStr">
        <is>
          <t>12/04/2026</t>
        </is>
      </c>
      <c r="I5" s="11" t="n"/>
    </row>
    <row r="6" ht="45" customHeight="1">
      <c r="A6" s="12" t="inlineStr">
        <is>
          <t>TC_002</t>
        </is>
      </c>
      <c r="B6" s="12" t="inlineStr">
        <is>
          <t>Kiểm thử tìm kiếm khi không nhập từ khóa</t>
        </is>
      </c>
      <c r="C6" s="15" t="inlineStr">
        <is>
          <t>Người dùng đang ở trang chủ</t>
        </is>
      </c>
      <c r="D6" s="12" t="inlineStr">
        <is>
          <t>Step 1: Để trống ô tìm kiếm
Step 2: Nhấn nút tìm kiếm
Step 3: Kiểm tra danh sách sản phẩm hiển thị</t>
        </is>
      </c>
      <c r="E6" s="12" t="inlineStr">
        <is>
          <t>Hệ thống hiển thị toàn bộ danh sách sản phẩm trong cửa hàng</t>
        </is>
      </c>
      <c r="F6" s="12" t="n"/>
      <c r="G6" s="12" t="n"/>
      <c r="H6" s="13" t="inlineStr">
        <is>
          <t>12/04/2026</t>
        </is>
      </c>
      <c r="I6" s="11" t="n"/>
    </row>
    <row r="7" ht="45" customHeight="1">
      <c r="A7" s="12" t="inlineStr">
        <is>
          <t>TC_003</t>
        </is>
      </c>
      <c r="B7" s="12" t="inlineStr">
        <is>
          <t>Kiểm thử tìm kiếm khi không có kết quả phù hợp</t>
        </is>
      </c>
      <c r="C7" s="15" t="inlineStr">
        <is>
          <t>Người dùng đang ở trang chủ</t>
        </is>
      </c>
      <c r="D7" s="12" t="inlineStr">
        <is>
          <t>Step 1: Nhập từ khóa không tồn tại vào ô tìm kiếm
Step 2: Nhấn nút tìm kiếm
Step 3: Kiểm tra thông báo hiển thị</t>
        </is>
      </c>
      <c r="E7" s="12" t="inlineStr">
        <is>
          <t>"Không tìm thấy sản phẩm nào khớp với lựa chọn của bạn."</t>
        </is>
      </c>
      <c r="F7" s="12" t="n"/>
      <c r="G7" s="12" t="n"/>
      <c r="H7" s="13" t="inlineStr">
        <is>
          <t>12/04/2026</t>
        </is>
      </c>
      <c r="I7" s="11" t="n"/>
    </row>
  </sheetData>
  <hyperlinks>
    <hyperlink ref="A1" location="'Test report'!A1" display="Back to TestReport"/>
    <hyperlink ref="B1" location="BugList!A1" display="To Buglist"/>
  </hyperlinks>
  <pageMargins left="0.7875" right="0.7875" top="1.052777777777778" bottom="1.052777777777778" header="0.7875" footer="0.7875"/>
  <pageSetup orientation="portrait" firstPageNumber="0" horizontalDpi="300" verticalDpi="300"/>
  <headerFooter alignWithMargins="0">
    <oddHeader>&amp;C&amp;"Times New Roman,Chuẩn"&amp;12 &amp;A</oddHeader>
    <oddFooter>&amp;C&amp;"Times New Roman,Chuẩn"&amp;12 Trang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5" sqref="A5:XFD30"/>
    </sheetView>
  </sheetViews>
  <sheetFormatPr baseColWidth="8" defaultColWidth="9" defaultRowHeight="10.2"/>
  <cols>
    <col width="14.33203125" customWidth="1" style="5" min="1" max="1"/>
    <col width="18.5546875" bestFit="1" customWidth="1" style="5" min="2" max="2"/>
    <col width="22.109375" customWidth="1" style="5" min="3" max="3"/>
    <col width="40.33203125" customWidth="1" style="5" min="4" max="4"/>
    <col width="30.33203125" customWidth="1" style="5" min="5" max="6"/>
    <col width="9.6640625" customWidth="1" style="5" min="7" max="7"/>
    <col width="9" customWidth="1" style="5" min="8" max="8"/>
    <col width="17.21875" customWidth="1" style="5" min="9" max="9"/>
    <col width="9" customWidth="1" style="5" min="10" max="16"/>
    <col width="9" customWidth="1" style="5" min="17" max="16384"/>
  </cols>
  <sheetData>
    <row r="1" ht="12.75" customHeight="1">
      <c r="A1" s="1" t="inlineStr">
        <is>
          <t>Back to TestReport</t>
        </is>
      </c>
      <c r="B1" s="1" t="inlineStr">
        <is>
          <t>To Buglist</t>
        </is>
      </c>
      <c r="C1" s="1" t="n"/>
      <c r="D1" s="2">
        <f>"Pass: "&amp;COUNTIF(#REF!,"Pass")</f>
        <v/>
      </c>
      <c r="E1" s="3">
        <f>"Untested: "&amp;COUNTIF(#REF!,"Untest")</f>
        <v/>
      </c>
      <c r="F1" s="3">
        <f>"Untested: "&amp;COUNTIF(#REF!,"Untest")</f>
        <v/>
      </c>
      <c r="G1" s="4" t="n"/>
    </row>
    <row r="2" ht="12.75" customHeight="1">
      <c r="A2" s="6" t="inlineStr">
        <is>
          <t>Module Code</t>
        </is>
      </c>
      <c r="B2" s="7" t="n"/>
      <c r="C2" s="7" t="n"/>
      <c r="D2" s="2">
        <f>"Fail: "&amp;COUNTIF(#REF!,"Fail")</f>
        <v/>
      </c>
      <c r="E2" s="3">
        <f>"N/A: "&amp;COUNTIF(#REF!,"N/A")</f>
        <v/>
      </c>
      <c r="F2" s="3">
        <f>"N/A: "&amp;COUNTIF(#REF!,"N/A")</f>
        <v/>
      </c>
      <c r="G2" s="4" t="n"/>
    </row>
    <row r="3" ht="12.75" customHeight="1">
      <c r="A3" s="6" t="inlineStr">
        <is>
          <t>Tester</t>
        </is>
      </c>
      <c r="B3" s="6" t="inlineStr">
        <is>
          <t>Lê Thị Ánh</t>
        </is>
      </c>
      <c r="C3" s="6" t="n"/>
      <c r="D3" s="2">
        <f>"Percent Complete: "&amp;ROUND((COUNTIF(#REF!,"Pass")*100)/((COUNTA($A$5:$A$973)*5)-COUNTIF(#REF!,"N/A")),2)&amp;"%"</f>
        <v/>
      </c>
      <c r="E3" s="8">
        <f>"Number of cases: "&amp;(COUNTA($A$5:$A$973))</f>
        <v/>
      </c>
      <c r="F3" s="8">
        <f>"Number of cases: "&amp;(COUNTA($A$5:$A$973))</f>
        <v/>
      </c>
      <c r="G3" s="9" t="n"/>
    </row>
    <row r="4" ht="28.35" customHeight="1">
      <c r="A4" s="10" t="inlineStr">
        <is>
          <t>ID</t>
        </is>
      </c>
      <c r="B4" s="10" t="inlineStr">
        <is>
          <t>Test Case Description</t>
        </is>
      </c>
      <c r="C4" s="10" t="inlineStr">
        <is>
          <t>Pre -Condition</t>
        </is>
      </c>
      <c r="D4" s="10" t="inlineStr">
        <is>
          <t>Test Case Procedure</t>
        </is>
      </c>
      <c r="E4" s="10" t="inlineStr">
        <is>
          <t>Expected Output</t>
        </is>
      </c>
      <c r="F4" s="10" t="inlineStr">
        <is>
          <t>Actual Output</t>
        </is>
      </c>
      <c r="G4" s="10" t="inlineStr">
        <is>
          <t>Status</t>
        </is>
      </c>
      <c r="H4" s="10" t="inlineStr">
        <is>
          <t>Test date</t>
        </is>
      </c>
      <c r="I4" s="10" t="inlineStr">
        <is>
          <t>Note</t>
        </is>
      </c>
    </row>
    <row r="5" customFormat="1" s="14">
      <c r="A5" s="11" t="n"/>
      <c r="B5" s="11" t="n"/>
      <c r="C5" s="15" t="n"/>
      <c r="D5" s="12" t="n"/>
      <c r="E5" s="12" t="n"/>
      <c r="F5" s="12" t="n"/>
      <c r="G5" s="12" t="n"/>
      <c r="H5" s="13" t="n"/>
      <c r="I5" s="11" t="n"/>
    </row>
    <row r="6">
      <c r="A6" s="11" t="n"/>
      <c r="B6" s="12" t="n"/>
      <c r="C6" s="15" t="n"/>
      <c r="D6" s="12" t="n"/>
      <c r="E6" s="12" t="n"/>
      <c r="F6" s="12" t="n"/>
      <c r="G6" s="12" t="n"/>
      <c r="H6" s="13" t="n"/>
      <c r="I6" s="11" t="n"/>
    </row>
    <row r="7">
      <c r="A7" s="11" t="n"/>
      <c r="B7" s="12" t="n"/>
      <c r="C7" s="15" t="n"/>
      <c r="D7" s="12" t="n"/>
      <c r="E7" s="12" t="n"/>
      <c r="F7" s="12" t="n"/>
      <c r="G7" s="12" t="n"/>
      <c r="H7" s="13" t="n"/>
      <c r="I7" s="11" t="n"/>
    </row>
    <row r="8" customFormat="1" s="14">
      <c r="A8" s="11" t="n"/>
      <c r="B8" s="12" t="n"/>
      <c r="C8" s="15" t="n"/>
      <c r="D8" s="12" t="n"/>
      <c r="E8" s="12" t="n"/>
      <c r="F8" s="12" t="n"/>
      <c r="G8" s="12" t="n"/>
      <c r="H8" s="13" t="n"/>
      <c r="I8" s="11" t="n"/>
    </row>
    <row r="9">
      <c r="A9" s="11" t="n"/>
      <c r="B9" s="12" t="n"/>
      <c r="C9" s="15" t="n"/>
      <c r="D9" s="12" t="n"/>
      <c r="E9" s="12" t="n"/>
      <c r="F9" s="12" t="n"/>
      <c r="G9" s="12" t="n"/>
      <c r="H9" s="13" t="n"/>
      <c r="I9" s="11" t="n"/>
    </row>
    <row r="10">
      <c r="A10" s="11" t="n"/>
      <c r="B10" s="12" t="n"/>
      <c r="C10" s="15" t="n"/>
      <c r="D10" s="12" t="n"/>
      <c r="E10" s="12" t="n"/>
      <c r="F10" s="12" t="n"/>
      <c r="G10" s="12" t="n"/>
      <c r="H10" s="13" t="n"/>
      <c r="I10" s="11" t="n"/>
    </row>
    <row r="11" customFormat="1" s="14">
      <c r="A11" s="11" t="n"/>
      <c r="B11" s="12" t="n"/>
      <c r="C11" s="15" t="n"/>
      <c r="D11" s="12" t="n"/>
      <c r="E11" s="12" t="n"/>
      <c r="F11" s="12" t="n"/>
      <c r="G11" s="12" t="n"/>
      <c r="H11" s="13" t="n"/>
      <c r="I11" s="11" t="n"/>
    </row>
    <row r="12">
      <c r="A12" s="11" t="n"/>
      <c r="B12" s="12" t="n"/>
      <c r="C12" s="15" t="n"/>
      <c r="D12" s="12" t="n"/>
      <c r="E12" s="12" t="n"/>
      <c r="F12" s="12" t="n"/>
      <c r="G12" s="12" t="n"/>
      <c r="H12" s="13" t="n"/>
      <c r="I12" s="11" t="n"/>
    </row>
    <row r="13">
      <c r="A13" s="11" t="n"/>
      <c r="B13" s="12" t="n"/>
      <c r="C13" s="15" t="n"/>
      <c r="D13" s="12" t="n"/>
      <c r="E13" s="12" t="n"/>
      <c r="F13" s="12" t="n"/>
      <c r="G13" s="12" t="n"/>
      <c r="H13" s="13" t="n"/>
      <c r="I13" s="11" t="n"/>
    </row>
    <row r="14">
      <c r="A14" s="11" t="n"/>
      <c r="B14" s="12" t="n"/>
      <c r="C14" s="15" t="n"/>
      <c r="D14" s="12" t="n"/>
      <c r="E14" s="12" t="n"/>
      <c r="F14" s="12" t="n"/>
      <c r="G14" s="12" t="n"/>
      <c r="H14" s="13" t="n"/>
      <c r="I14" s="11" t="n"/>
    </row>
    <row r="15">
      <c r="A15" s="11" t="n"/>
      <c r="B15" s="12" t="n"/>
      <c r="C15" s="15" t="n"/>
      <c r="D15" s="12" t="n"/>
      <c r="E15" s="12" t="n"/>
      <c r="F15" s="12" t="n"/>
      <c r="G15" s="12" t="n"/>
      <c r="H15" s="13" t="n"/>
      <c r="I15" s="11" t="n"/>
    </row>
    <row r="16">
      <c r="A16" s="11" t="n"/>
      <c r="B16" s="12" t="n"/>
      <c r="C16" s="15" t="n"/>
      <c r="D16" s="12" t="n"/>
      <c r="E16" s="12" t="n"/>
      <c r="F16" s="12" t="n"/>
      <c r="G16" s="12" t="n"/>
      <c r="H16" s="13" t="n"/>
      <c r="I16" s="11" t="n"/>
    </row>
    <row r="17">
      <c r="A17" s="11" t="n"/>
      <c r="B17" s="12" t="n"/>
      <c r="C17" s="15" t="n"/>
      <c r="D17" s="12" t="n"/>
      <c r="E17" s="12" t="n"/>
      <c r="F17" s="12" t="n"/>
      <c r="G17" s="12" t="n"/>
      <c r="H17" s="13" t="n"/>
      <c r="I17" s="11" t="n"/>
    </row>
  </sheetData>
  <hyperlinks>
    <hyperlink ref="A1" location="'Test report'!A1" display="Back to TestReport"/>
    <hyperlink ref="B1" location="BugList!A1" display="To Buglis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C23" sqref="C23"/>
    </sheetView>
  </sheetViews>
  <sheetFormatPr baseColWidth="8" defaultColWidth="9" defaultRowHeight="10.2"/>
  <cols>
    <col width="14.33203125" customWidth="1" style="5" min="1" max="1"/>
    <col width="18.5546875" bestFit="1" customWidth="1" style="5" min="2" max="2"/>
    <col width="22.109375" customWidth="1" style="5" min="3" max="3"/>
    <col width="40.33203125" customWidth="1" style="5" min="4" max="4"/>
    <col width="30.33203125" customWidth="1" style="5" min="5" max="6"/>
    <col width="9.6640625" customWidth="1" style="5" min="7" max="7"/>
    <col width="9" customWidth="1" style="5" min="8" max="8"/>
    <col width="17.21875" customWidth="1" style="5" min="9" max="9"/>
    <col width="9" customWidth="1" style="5" min="10" max="16"/>
    <col width="9" customWidth="1" style="5" min="17" max="16384"/>
  </cols>
  <sheetData>
    <row r="1" ht="12.75" customHeight="1">
      <c r="A1" s="1" t="inlineStr">
        <is>
          <t>Back to TestReport</t>
        </is>
      </c>
      <c r="B1" s="1" t="inlineStr">
        <is>
          <t>To Buglist</t>
        </is>
      </c>
      <c r="C1" s="1" t="n"/>
      <c r="D1" s="2">
        <f>"Pass: "&amp;COUNTIF(#REF!,"Pass")</f>
        <v/>
      </c>
      <c r="E1" s="3">
        <f>"Untested: "&amp;COUNTIF(#REF!,"Untest")</f>
        <v/>
      </c>
      <c r="F1" s="3">
        <f>"Untested: "&amp;COUNTIF(#REF!,"Untest")</f>
        <v/>
      </c>
      <c r="G1" s="4" t="n"/>
    </row>
    <row r="2" ht="12.75" customHeight="1">
      <c r="A2" s="6" t="inlineStr">
        <is>
          <t>Module Code</t>
        </is>
      </c>
      <c r="B2" s="7" t="n"/>
      <c r="C2" s="7" t="n"/>
      <c r="D2" s="2">
        <f>"Fail: "&amp;COUNTIF(#REF!,"Fail")</f>
        <v/>
      </c>
      <c r="E2" s="3">
        <f>"N/A: "&amp;COUNTIF(#REF!,"N/A")</f>
        <v/>
      </c>
      <c r="F2" s="3">
        <f>"N/A: "&amp;COUNTIF(#REF!,"N/A")</f>
        <v/>
      </c>
      <c r="G2" s="4" t="n"/>
    </row>
    <row r="3" ht="12.75" customHeight="1">
      <c r="A3" s="6" t="inlineStr">
        <is>
          <t>Tester</t>
        </is>
      </c>
      <c r="B3" s="6" t="inlineStr">
        <is>
          <t>Lê Thị Ánh</t>
        </is>
      </c>
      <c r="C3" s="6" t="n"/>
      <c r="D3" s="2">
        <f>"Percent Complete: "&amp;ROUND((COUNTIF(#REF!,"Pass")*100)/((COUNTA($A$5:$A$971)*5)-COUNTIF(#REF!,"N/A")),2)&amp;"%"</f>
        <v/>
      </c>
      <c r="E3" s="8">
        <f>"Number of cases: "&amp;(COUNTA($A$5:$A$971))</f>
        <v/>
      </c>
      <c r="F3" s="8">
        <f>"Number of cases: "&amp;(COUNTA($A$5:$A$971))</f>
        <v/>
      </c>
      <c r="G3" s="9" t="n"/>
    </row>
    <row r="4" ht="28.35" customHeight="1">
      <c r="A4" s="10" t="inlineStr">
        <is>
          <t>ID</t>
        </is>
      </c>
      <c r="B4" s="10" t="inlineStr">
        <is>
          <t>Test Case Description</t>
        </is>
      </c>
      <c r="C4" s="10" t="inlineStr">
        <is>
          <t>Pre -Condition</t>
        </is>
      </c>
      <c r="D4" s="10" t="inlineStr">
        <is>
          <t>Test Case Procedure</t>
        </is>
      </c>
      <c r="E4" s="10" t="inlineStr">
        <is>
          <t>Expected Output</t>
        </is>
      </c>
      <c r="F4" s="10" t="inlineStr">
        <is>
          <t>Actual Output</t>
        </is>
      </c>
      <c r="G4" s="10" t="inlineStr">
        <is>
          <t>Status</t>
        </is>
      </c>
      <c r="H4" s="10" t="inlineStr">
        <is>
          <t>Test date</t>
        </is>
      </c>
      <c r="I4" s="10" t="inlineStr">
        <is>
          <t>Note</t>
        </is>
      </c>
    </row>
    <row r="5" customFormat="1" s="14">
      <c r="A5" s="11" t="n"/>
      <c r="B5" s="11" t="n"/>
      <c r="C5" s="15" t="n"/>
      <c r="D5" s="12" t="n"/>
      <c r="E5" s="12" t="n"/>
      <c r="F5" s="12" t="n"/>
      <c r="G5" s="12" t="n"/>
      <c r="H5" s="13" t="n"/>
      <c r="I5" s="11" t="n"/>
    </row>
    <row r="6">
      <c r="A6" s="11" t="n"/>
      <c r="B6" s="12" t="n"/>
      <c r="C6" s="15" t="n"/>
      <c r="D6" s="12" t="n"/>
      <c r="E6" s="12" t="n"/>
      <c r="F6" s="12" t="n"/>
      <c r="G6" s="12" t="n"/>
      <c r="H6" s="13" t="n"/>
      <c r="I6" s="11" t="n"/>
    </row>
    <row r="7">
      <c r="A7" s="11" t="n"/>
      <c r="B7" s="12" t="n"/>
      <c r="C7" s="15" t="n"/>
      <c r="D7" s="12" t="n"/>
      <c r="E7" s="12" t="n"/>
      <c r="F7" s="12" t="n"/>
      <c r="G7" s="12" t="n"/>
      <c r="H7" s="13" t="n"/>
      <c r="I7" s="11" t="n"/>
    </row>
    <row r="8" customFormat="1" s="14">
      <c r="A8" s="11" t="n"/>
      <c r="B8" s="12" t="n"/>
      <c r="C8" s="15" t="n"/>
      <c r="D8" s="12" t="n"/>
      <c r="E8" s="12" t="n"/>
      <c r="F8" s="12" t="n"/>
      <c r="G8" s="12" t="n"/>
      <c r="H8" s="13" t="n"/>
      <c r="I8" s="11" t="n"/>
    </row>
    <row r="9">
      <c r="A9" s="11" t="n"/>
      <c r="B9" s="12" t="n"/>
      <c r="C9" s="15" t="n"/>
      <c r="D9" s="12" t="n"/>
      <c r="E9" s="12" t="n"/>
      <c r="F9" s="12" t="n"/>
      <c r="G9" s="12" t="n"/>
      <c r="H9" s="13" t="n"/>
      <c r="I9" s="11" t="n"/>
    </row>
    <row r="10" customFormat="1" s="14">
      <c r="A10" s="11" t="n"/>
      <c r="B10" s="12" t="n"/>
      <c r="C10" s="15" t="n"/>
      <c r="D10" s="12" t="n"/>
      <c r="E10" s="12" t="n"/>
      <c r="F10" s="12" t="n"/>
      <c r="G10" s="12" t="n"/>
      <c r="H10" s="13" t="n"/>
      <c r="I10" s="11" t="n"/>
    </row>
    <row r="11">
      <c r="A11" s="11" t="n"/>
      <c r="B11" s="12" t="n"/>
      <c r="C11" s="15" t="n"/>
      <c r="D11" s="12" t="n"/>
      <c r="E11" s="12" t="n"/>
      <c r="F11" s="12" t="n"/>
      <c r="G11" s="12" t="n"/>
      <c r="H11" s="13" t="n"/>
      <c r="I11" s="11" t="n"/>
    </row>
    <row r="12">
      <c r="A12" s="11" t="n"/>
      <c r="B12" s="12" t="n"/>
      <c r="C12" s="15" t="n"/>
      <c r="D12" s="12" t="n"/>
      <c r="E12" s="12" t="n"/>
      <c r="F12" s="12" t="n"/>
      <c r="G12" s="12" t="n"/>
      <c r="H12" s="13" t="n"/>
      <c r="I12" s="11" t="n"/>
    </row>
    <row r="13">
      <c r="A13" s="11" t="n"/>
      <c r="B13" s="12" t="n"/>
      <c r="C13" s="15" t="n"/>
      <c r="D13" s="12" t="n"/>
      <c r="E13" s="12" t="n"/>
      <c r="F13" s="12" t="n"/>
      <c r="G13" s="12" t="n"/>
      <c r="H13" s="13" t="n"/>
      <c r="I13" s="11" t="n"/>
    </row>
    <row r="14">
      <c r="A14" s="11" t="n"/>
      <c r="B14" s="12" t="n"/>
      <c r="C14" s="15" t="n"/>
      <c r="D14" s="12" t="n"/>
      <c r="E14" s="12" t="n"/>
      <c r="F14" s="12" t="n"/>
      <c r="G14" s="12" t="n"/>
      <c r="H14" s="13" t="n"/>
      <c r="I14" s="11" t="n"/>
    </row>
    <row r="15">
      <c r="A15" s="11" t="n"/>
      <c r="B15" s="12" t="n"/>
      <c r="C15" s="15" t="n"/>
      <c r="D15" s="12" t="n"/>
      <c r="E15" s="12" t="n"/>
      <c r="F15" s="12" t="n"/>
      <c r="G15" s="12" t="n"/>
      <c r="H15" s="13" t="n"/>
      <c r="I15" s="11" t="n"/>
    </row>
  </sheetData>
  <hyperlinks>
    <hyperlink ref="A1" location="'Test report'!A1" display="Back to TestReport"/>
    <hyperlink ref="B1" location="BugList!A1" display="To Buglis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5"/>
  <sheetViews>
    <sheetView zoomScale="87" workbookViewId="0">
      <selection activeCell="D23" sqref="D23"/>
    </sheetView>
  </sheetViews>
  <sheetFormatPr baseColWidth="8" defaultColWidth="9" defaultRowHeight="10.2"/>
  <cols>
    <col width="14.33203125" customWidth="1" style="5" min="1" max="1"/>
    <col width="18.5546875" bestFit="1" customWidth="1" style="5" min="2" max="2"/>
    <col width="22.109375" customWidth="1" style="5" min="3" max="3"/>
    <col width="40.33203125" customWidth="1" style="5" min="4" max="4"/>
    <col width="30.33203125" customWidth="1" style="5" min="5" max="6"/>
    <col width="9.6640625" customWidth="1" style="5" min="7" max="7"/>
    <col width="9" customWidth="1" style="5" min="8" max="8"/>
    <col width="17.21875" customWidth="1" style="5" min="9" max="9"/>
    <col width="9" customWidth="1" style="5" min="10" max="16"/>
    <col width="9" customWidth="1" style="5" min="17" max="16384"/>
  </cols>
  <sheetData>
    <row r="1" ht="12.75" customHeight="1">
      <c r="A1" s="1" t="inlineStr">
        <is>
          <t>Back to TestReport</t>
        </is>
      </c>
      <c r="B1" s="1" t="inlineStr">
        <is>
          <t>To Buglist</t>
        </is>
      </c>
      <c r="C1" s="1" t="n"/>
      <c r="D1" s="2">
        <f>"Pass: "&amp;COUNTIF(#REF!,"Pass")</f>
        <v/>
      </c>
      <c r="E1" s="3">
        <f>"Untested: "&amp;COUNTIF(#REF!,"Untest")</f>
        <v/>
      </c>
      <c r="F1" s="3">
        <f>"Untested: "&amp;COUNTIF(#REF!,"Untest")</f>
        <v/>
      </c>
      <c r="G1" s="4" t="n"/>
    </row>
    <row r="2" ht="12.75" customHeight="1">
      <c r="A2" s="6" t="inlineStr">
        <is>
          <t>Module Code</t>
        </is>
      </c>
      <c r="B2" s="7" t="n"/>
      <c r="C2" s="7" t="n"/>
      <c r="D2" s="2">
        <f>"Fail: "&amp;COUNTIF(#REF!,"Fail")</f>
        <v/>
      </c>
      <c r="E2" s="3">
        <f>"N/A: "&amp;COUNTIF(#REF!,"N/A")</f>
        <v/>
      </c>
      <c r="F2" s="3">
        <f>"N/A: "&amp;COUNTIF(#REF!,"N/A")</f>
        <v/>
      </c>
      <c r="G2" s="4" t="n"/>
    </row>
    <row r="3" ht="12.75" customHeight="1">
      <c r="A3" s="6" t="inlineStr">
        <is>
          <t>Tester</t>
        </is>
      </c>
      <c r="B3" s="6" t="inlineStr">
        <is>
          <t>Lê Thị Ánh</t>
        </is>
      </c>
      <c r="C3" s="6" t="n"/>
      <c r="D3" s="2">
        <f>"Percent Complete: "&amp;ROUND((COUNTIF(#REF!,"Pass")*100)/((COUNTA($A$5:$A$971)*5)-COUNTIF(#REF!,"N/A")),2)&amp;"%"</f>
        <v/>
      </c>
      <c r="E3" s="8">
        <f>"Number of cases: "&amp;(COUNTA($A$5:$A$971))</f>
        <v/>
      </c>
      <c r="F3" s="8">
        <f>"Number of cases: "&amp;(COUNTA($A$5:$A$971))</f>
        <v/>
      </c>
      <c r="G3" s="9" t="n"/>
    </row>
    <row r="4" ht="28.35" customHeight="1">
      <c r="A4" s="10" t="inlineStr">
        <is>
          <t>ID</t>
        </is>
      </c>
      <c r="B4" s="10" t="inlineStr">
        <is>
          <t>Test Case Description</t>
        </is>
      </c>
      <c r="C4" s="10" t="inlineStr">
        <is>
          <t>Pre -Condition</t>
        </is>
      </c>
      <c r="D4" s="10" t="inlineStr">
        <is>
          <t>Test Case Procedure</t>
        </is>
      </c>
      <c r="E4" s="10" t="inlineStr">
        <is>
          <t>Expected Output</t>
        </is>
      </c>
      <c r="F4" s="10" t="inlineStr">
        <is>
          <t>Actual Output</t>
        </is>
      </c>
      <c r="G4" s="10" t="inlineStr">
        <is>
          <t>Status</t>
        </is>
      </c>
      <c r="H4" s="10" t="inlineStr">
        <is>
          <t>Test date</t>
        </is>
      </c>
      <c r="I4" s="10" t="inlineStr">
        <is>
          <t>Note</t>
        </is>
      </c>
    </row>
    <row r="5" customFormat="1" s="14">
      <c r="A5" s="11" t="n"/>
      <c r="B5" s="11" t="n"/>
      <c r="C5" s="15" t="n"/>
      <c r="D5" s="12" t="n"/>
      <c r="E5" s="12" t="n"/>
      <c r="F5" s="12" t="n"/>
      <c r="G5" s="12" t="n"/>
      <c r="H5" s="13" t="n"/>
      <c r="I5" s="11" t="n"/>
    </row>
    <row r="6">
      <c r="A6" s="11" t="n"/>
      <c r="B6" s="12" t="n"/>
      <c r="C6" s="15" t="n"/>
      <c r="D6" s="12" t="n"/>
      <c r="E6" s="12" t="n"/>
      <c r="F6" s="12" t="n"/>
      <c r="G6" s="12" t="n"/>
      <c r="H6" s="13" t="n"/>
      <c r="I6" s="11" t="n"/>
    </row>
    <row r="7">
      <c r="A7" s="11" t="n"/>
      <c r="B7" s="12" t="n"/>
      <c r="C7" s="15" t="n"/>
      <c r="D7" s="12" t="n"/>
      <c r="E7" s="12" t="n"/>
      <c r="F7" s="12" t="n"/>
      <c r="G7" s="12" t="n"/>
      <c r="H7" s="13" t="n"/>
      <c r="I7" s="11" t="n"/>
    </row>
    <row r="8" customFormat="1" s="14">
      <c r="A8" s="11" t="n"/>
      <c r="B8" s="12" t="n"/>
      <c r="C8" s="15" t="n"/>
      <c r="D8" s="12" t="n"/>
      <c r="E8" s="12" t="n"/>
      <c r="F8" s="12" t="n"/>
      <c r="G8" s="12" t="n"/>
      <c r="H8" s="13" t="n"/>
      <c r="I8" s="11" t="n"/>
    </row>
    <row r="9">
      <c r="A9" s="11" t="n"/>
      <c r="B9" s="12" t="n"/>
      <c r="C9" s="15" t="n"/>
      <c r="D9" s="12" t="n"/>
      <c r="E9" s="12" t="n"/>
      <c r="F9" s="12" t="n"/>
      <c r="G9" s="12" t="n"/>
      <c r="H9" s="13" t="n"/>
      <c r="I9" s="11" t="n"/>
    </row>
    <row r="10" customFormat="1" s="14">
      <c r="A10" s="11" t="n"/>
      <c r="B10" s="12" t="n"/>
      <c r="C10" s="15" t="n"/>
      <c r="D10" s="12" t="n"/>
      <c r="E10" s="12" t="n"/>
      <c r="F10" s="12" t="n"/>
      <c r="G10" s="12" t="n"/>
      <c r="H10" s="13" t="n"/>
      <c r="I10" s="11" t="n"/>
    </row>
    <row r="11">
      <c r="A11" s="11" t="n"/>
      <c r="B11" s="12" t="n"/>
      <c r="C11" s="15" t="n"/>
      <c r="D11" s="12" t="n"/>
      <c r="E11" s="12" t="n"/>
      <c r="F11" s="12" t="n"/>
      <c r="G11" s="12" t="n"/>
      <c r="H11" s="13" t="n"/>
      <c r="I11" s="11" t="n"/>
    </row>
    <row r="12">
      <c r="A12" s="11" t="n"/>
      <c r="B12" s="12" t="n"/>
      <c r="C12" s="15" t="n"/>
      <c r="D12" s="12" t="n"/>
      <c r="E12" s="12" t="n"/>
      <c r="F12" s="12" t="n"/>
      <c r="G12" s="12" t="n"/>
      <c r="H12" s="13" t="n"/>
      <c r="I12" s="11" t="n"/>
    </row>
    <row r="13">
      <c r="A13" s="11" t="n"/>
      <c r="B13" s="12" t="n"/>
      <c r="C13" s="15" t="n"/>
      <c r="D13" s="12" t="n"/>
      <c r="E13" s="12" t="n"/>
      <c r="F13" s="12" t="n"/>
      <c r="G13" s="12" t="n"/>
      <c r="H13" s="13" t="n"/>
      <c r="I13" s="11" t="n"/>
    </row>
    <row r="14">
      <c r="A14" s="11" t="n"/>
      <c r="B14" s="12" t="n"/>
      <c r="C14" s="15" t="n"/>
      <c r="D14" s="12" t="n"/>
      <c r="E14" s="12" t="n"/>
      <c r="F14" s="12" t="n"/>
      <c r="G14" s="12" t="n"/>
      <c r="H14" s="13" t="n"/>
      <c r="I14" s="11" t="n"/>
    </row>
    <row r="15">
      <c r="A15" s="11" t="n"/>
      <c r="B15" s="12" t="n"/>
      <c r="C15" s="15" t="n"/>
      <c r="D15" s="12" t="n"/>
      <c r="E15" s="12" t="n"/>
      <c r="F15" s="12" t="n"/>
      <c r="G15" s="12" t="n"/>
      <c r="H15" s="13" t="n"/>
      <c r="I15" s="11" t="n"/>
    </row>
  </sheetData>
  <hyperlinks>
    <hyperlink ref="A1" location="'Test report'!A1" display="Back to TestReport"/>
    <hyperlink ref="B1" location="BugList!A1" display="To Buglist"/>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ACER</dc:creator>
  <dcterms:created xsi:type="dcterms:W3CDTF">2024-05-03T07:38:53Z</dcterms:created>
  <dcterms:modified xsi:type="dcterms:W3CDTF">2026-04-12T01:36:57Z</dcterms:modified>
  <cp:lastModifiedBy>Thị Ánh Lê</cp:lastModifiedBy>
</cp:coreProperties>
</file>