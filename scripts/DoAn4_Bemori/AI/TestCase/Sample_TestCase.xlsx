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Đồ án 4\DoAn4\scripts\DoAn4_Bemori\AI\TestCase\"/>
    </mc:Choice>
  </mc:AlternateContent>
  <xr:revisionPtr revIDLastSave="0" documentId="13_ncr:1_{1B7DF537-8F36-4F41-8A06-35657B5062C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externalReferences>
    <externalReference r:id="rId2"/>
  </externalReferences>
  <definedNames>
    <definedName name="ACTION">#REF!</definedName>
    <definedName name="ACTION_1">#REF!</definedName>
    <definedName name="Excel_BuiltIn__FilterDatabase">#REF!</definedName>
    <definedName name="Excel_BuiltIn__FilterDatabase_1">#REF!</definedName>
    <definedName name="OLE_LINK31">'[1]Home page'!#REF!</definedName>
    <definedName name="OLE_LINK41">'[1]Home page'!#REF!</definedName>
    <definedName name="OLE_LINK43">'[1]Home page'!#REF!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F2" i="1"/>
  <c r="E2" i="1"/>
  <c r="D2" i="1"/>
  <c r="F1" i="1"/>
  <c r="E1" i="1"/>
  <c r="D1" i="1"/>
</calcChain>
</file>

<file path=xl/sharedStrings.xml><?xml version="1.0" encoding="utf-8"?>
<sst xmlns="http://schemas.openxmlformats.org/spreadsheetml/2006/main" count="16" uniqueCount="15">
  <si>
    <t>Back to TestReport</t>
  </si>
  <si>
    <t>To Buglist</t>
  </si>
  <si>
    <t>Module Code</t>
  </si>
  <si>
    <t>Tester</t>
  </si>
  <si>
    <t>Lê Thị Ánh</t>
  </si>
  <si>
    <t>ID</t>
  </si>
  <si>
    <t>Test Case Description</t>
  </si>
  <si>
    <t>Pre -Condition</t>
  </si>
  <si>
    <t>Test Case Procedure</t>
  </si>
  <si>
    <t>Expected Output</t>
  </si>
  <si>
    <t>Actual Output</t>
  </si>
  <si>
    <t>Status</t>
  </si>
  <si>
    <t>Test date</t>
  </si>
  <si>
    <t>Note</t>
  </si>
  <si>
    <t>Number of cases: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</si>
</sst>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ＭＳ Ｐゴシック"/>
      <family val="2"/>
      <charset val="128"/>
    </font>
    <font>
      <u/>
      <sz val="11"/>
      <color indexed="12"/>
      <name val="ＭＳ Ｐゴシック"/>
      <family val="3"/>
      <charset val="128"/>
    </font>
    <font>
      <b/>
      <u/>
      <sz val="8"/>
      <color indexed="12"/>
      <name val="Tahoma"/>
      <family val="2"/>
    </font>
    <font>
      <sz val="11"/>
      <name val="ＭＳ Ｐゴシック"/>
      <family val="2"/>
      <charset val="128"/>
    </font>
    <font>
      <sz val="8"/>
      <name val="Tahoma"/>
      <family val="2"/>
    </font>
    <font>
      <b/>
      <sz val="8"/>
      <name val="Tahoma"/>
      <family val="2"/>
    </font>
    <font>
      <b/>
      <sz val="8"/>
      <color indexed="9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55"/>
      </patternFill>
    </fill>
    <fill>
      <patternFill patternType="solid">
        <fgColor indexed="18"/>
        <bgColor indexed="3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16">
    <xf numFmtId="0" fontId="0" fillId="0" borderId="0" xfId="0"/>
    <xf numFmtId="0" fontId="2" fillId="2" borderId="1" xfId="1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4" fillId="0" borderId="0" xfId="0" applyFont="1"/>
    <xf numFmtId="0" fontId="5" fillId="2" borderId="1" xfId="2" applyFont="1" applyFill="1" applyBorder="1" applyAlignment="1">
      <alignment horizontal="left" vertical="top" wrapText="1"/>
    </xf>
    <xf numFmtId="0" fontId="4" fillId="2" borderId="1" xfId="2" applyFont="1" applyFill="1" applyBorder="1" applyAlignment="1">
      <alignment horizontal="left"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2" borderId="0" xfId="0" applyNumberFormat="1" applyFont="1" applyFill="1" applyAlignment="1">
      <alignment vertical="top" wrapText="1"/>
    </xf>
    <xf numFmtId="0" fontId="6" fillId="3" borderId="1" xfId="2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vertical="top"/>
    </xf>
    <xf numFmtId="0" fontId="4" fillId="4" borderId="1" xfId="0" applyFont="1" applyFill="1" applyBorder="1" applyAlignment="1">
      <alignment vertical="top" wrapText="1"/>
    </xf>
    <xf numFmtId="16" fontId="4" fillId="4" borderId="1" xfId="0" applyNumberFormat="1" applyFont="1" applyFill="1" applyBorder="1" applyAlignment="1">
      <alignment vertical="top"/>
    </xf>
    <xf numFmtId="0" fontId="4" fillId="4" borderId="0" xfId="0" applyFont="1" applyFill="1"/>
    <xf numFmtId="0" fontId="4" fillId="4" borderId="1" xfId="0" quotePrefix="1" applyFont="1" applyFill="1" applyBorder="1" applyAlignment="1">
      <alignment vertical="top" wrapText="1"/>
    </xf>
  </cellXfs>
  <cellStyles count="3">
    <cellStyle name="Hyperlink" xfId="1" builtinId="8"/>
    <cellStyle name="Normal" xfId="0" builtinId="0"/>
    <cellStyle name="Normal_Sheet1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CER\Desktop\Sample_Test%20C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Test report"/>
      <sheetName val="Hybrid"/>
      <sheetName val="Home page"/>
      <sheetName val="ER"/>
      <sheetName val="Find a Doctor"/>
      <sheetName val="MFM-Login"/>
      <sheetName val="MFM-ForgotPassword"/>
      <sheetName val="MFM-CreateAcct"/>
      <sheetName val="MFM-ChangePassword"/>
      <sheetName val="MFM-CreateProfile"/>
      <sheetName val="MFM-DashboardDeleteAcct"/>
      <sheetName val="MFM-ViewEditDeleteProfile"/>
      <sheetName val="ECH Resources"/>
      <sheetName val="ECH news"/>
      <sheetName val="Visiting ECH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zoomScaleNormal="100" workbookViewId="0">
      <pane ySplit="4" topLeftCell="A5" activePane="bottomLeft" state="frozen"/>
      <selection pane="bottomLeft" activeCell="B2" sqref="B2"/>
    </sheetView>
  </sheetViews>
  <sheetFormatPr defaultColWidth="9" defaultRowHeight="13.2"/>
  <cols>
    <col min="1" max="1" width="12" style="5" customWidth="1"/>
    <col min="2" max="2" width="40" style="5" bestFit="1" customWidth="1"/>
    <col min="3" max="3" width="30" style="5" customWidth="1"/>
    <col min="4" max="4" width="45" style="5" customWidth="1"/>
    <col min="5" max="5" width="45" customWidth="1"/>
    <col min="6" max="6" width="25" customWidth="1"/>
    <col min="7" max="7" width="12" style="5" customWidth="1"/>
    <col min="8" max="8" width="15" style="5" customWidth="1"/>
    <col min="9" max="9" width="25" style="5" customWidth="1"/>
    <col min="10" max="21" width="9" style="5" customWidth="1"/>
    <col min="22" max="16384" width="9" style="5"/>
  </cols>
  <sheetData>
    <row r="1" spans="1:9" ht="20.399999999999999">
      <c r="A1" s="1" t="s">
        <v>0</v>
      </c>
      <c r="B1" s="1" t="s">
        <v>1</v>
      </c>
      <c r="C1" s="1"/>
      <c r="D1" s="2" t="e">
        <f>"Pass: "&amp;COUNTIF(#REF!,"Pass")</f>
        <v>#REF!</v>
      </c>
      <c r="E1" s="3" t="e">
        <f>"Untested: "&amp;COUNTIF(#REF!,"Untest")</f>
        <v>#REF!</v>
      </c>
      <c r="F1" s="3" t="e">
        <f>"Untested: "&amp;COUNTIF(#REF!,"Untest")</f>
        <v>#REF!</v>
      </c>
      <c r="G1" s="4"/>
    </row>
    <row r="2" spans="1:9" ht="10.199999999999999">
      <c r="A2" s="6" t="s">
        <v>2</v>
      </c>
      <c r="B2" s="7"/>
      <c r="C2" s="7"/>
      <c r="D2" s="2" t="e">
        <f>"Fail: "&amp;COUNTIF(#REF!,"Fail")</f>
        <v>#REF!</v>
      </c>
      <c r="E2" s="3" t="e">
        <f>"N/A: "&amp;COUNTIF(#REF!,"N/A")</f>
        <v>#REF!</v>
      </c>
      <c r="F2" s="3" t="e">
        <f>"N/A: "&amp;COUNTIF(#REF!,"N/A")</f>
        <v>#REF!</v>
      </c>
      <c r="G2" s="4"/>
    </row>
    <row r="3" spans="1:9" ht="10.199999999999999">
      <c r="A3" s="6" t="s">
        <v>3</v>
      </c>
      <c r="B3" s="6" t="s">
        <v>4</v>
      </c>
      <c r="C3" s="6"/>
      <c r="D3" s="2" t="e">
        <f>"Percent Complete: "&amp;ROUND((COUNTIF(#REF!,"Pass")*100)/((COUNTA($A$5:$A$973)*5)-COUNTIF(#REF!,"N/A")),2)&amp;"%"</f>
        <v>#REF!</v>
      </c>
      <c r="E3" s="8" t="s">
        <v>14</v>
      </c>
      <c r="F3" s="8" t="s">
        <v>14</v>
      </c>
      <c r="G3" s="9"/>
    </row>
    <row r="4" spans="1:9" ht="10.199999999999999">
      <c r="A4" s="10" t="s">
        <v>5</v>
      </c>
      <c r="B4" s="10" t="s">
        <v>6</v>
      </c>
      <c r="C4" s="10" t="s">
        <v>7</v>
      </c>
      <c r="D4" s="10" t="s">
        <v>8</v>
      </c>
      <c r="E4" s="10" t="s">
        <v>9</v>
      </c>
      <c r="F4" s="10" t="s">
        <v>10</v>
      </c>
      <c r="G4" s="10" t="s">
        <v>11</v>
      </c>
      <c r="H4" s="10" t="s">
        <v>12</v>
      </c>
      <c r="I4" s="10" t="s">
        <v>13</v>
      </c>
    </row>
    <row r="5" spans="1:9" s="14" customFormat="1" ht="10.199999999999999">
      <c r="A5" s="12"/>
      <c r="B5" s="12"/>
      <c r="C5" s="15"/>
      <c r="D5" s="12"/>
      <c r="E5" s="12"/>
      <c r="F5" s="12"/>
      <c r="G5" s="12"/>
      <c r="H5" s="13"/>
      <c r="I5" s="11"/>
    </row>
    <row r="6" spans="1:9" ht="10.199999999999999">
      <c r="A6" s="12"/>
      <c r="B6" s="12"/>
      <c r="C6" s="15"/>
      <c r="D6" s="12"/>
      <c r="E6" s="12"/>
      <c r="F6" s="12"/>
      <c r="G6" s="12"/>
      <c r="H6" s="13"/>
      <c r="I6" s="11"/>
    </row>
    <row r="7" spans="1:9" ht="10.199999999999999">
      <c r="A7" s="12"/>
      <c r="B7" s="12"/>
      <c r="C7" s="15"/>
      <c r="D7" s="12"/>
      <c r="E7" s="12"/>
      <c r="F7" s="12"/>
      <c r="G7" s="12"/>
      <c r="H7" s="13"/>
      <c r="I7" s="11"/>
    </row>
  </sheetData>
  <hyperlinks>
    <hyperlink ref="A1" location="'Test report'!A1" display="Back to TestReport" xr:uid="{00000000-0004-0000-0000-000000000000}"/>
    <hyperlink ref="B1" location="BugList!A1" display="To Buglist" xr:uid="{00000000-0004-0000-0000-000001000000}"/>
  </hyperlinks>
  <pageMargins left="0.78749999999999998" right="0.78749999999999998" top="1.052777777777778" bottom="1.052777777777778" header="0.78749999999999998" footer="0.78749999999999998"/>
  <pageSetup firstPageNumber="0" orientation="portrait" horizontalDpi="300" verticalDpi="300"/>
  <headerFooter alignWithMargins="0">
    <oddHeader>&amp;C&amp;"Times New Roman,Chuẩn"&amp;12 &amp;A</oddHeader>
    <oddFooter>&amp;C&amp;"Times New Roman,Chuẩn"&amp;12 Trang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Thị Ánh Lê</cp:lastModifiedBy>
  <dcterms:created xsi:type="dcterms:W3CDTF">2024-05-03T07:38:53Z</dcterms:created>
  <dcterms:modified xsi:type="dcterms:W3CDTF">2026-05-29T13:20:04Z</dcterms:modified>
</cp:coreProperties>
</file>