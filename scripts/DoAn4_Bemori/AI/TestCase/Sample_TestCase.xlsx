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576" tabRatio="600" firstSheet="0" activeTab="0" autoFilterDateGrouping="1"/>
  </bookViews>
  <sheets>
    <sheet name="TimKiem" sheetId="1" state="visible" r:id="rId1"/>
    <sheet name="BinhLuan" sheetId="2" state="visible" r:id="rId2"/>
    <sheet name="DatHangNhanh" sheetId="3" state="visible" r:id="rId3"/>
    <sheet name="MuaHang" sheetId="4" state="visible" r:id="rId4"/>
  </sheets>
  <externalReferences>
    <externalReference r:id="rId5"/>
  </externalReferences>
  <definedNames>
    <definedName name="ACTION">#REF!</definedName>
    <definedName name="ACTION_1">#REF!</definedName>
    <definedName name="Excel_BuiltIn__FilterDatabase">#REF!</definedName>
    <definedName name="Excel_BuiltIn__FilterDatabase_1">#REF!</definedName>
    <definedName name="OLE_LINK31">'[1]Home page'!#REF!</definedName>
    <definedName name="OLE_LINK41">'[1]Home page'!#REF!</definedName>
    <definedName name="OLE_LINK43">'[1]Home page'!#REF!</definedName>
  </definedNames>
  <calcPr calcId="191029" fullCalcOnLoad="1"/>
</workbook>
</file>

<file path=xl/styles.xml><?xml version="1.0" encoding="utf-8"?>
<styleSheet xmlns="http://schemas.openxmlformats.org/spreadsheetml/2006/main">
  <numFmts count="0"/>
  <fonts count="7">
    <font>
      <name val="ＭＳ Ｐゴシック"/>
      <charset val="128"/>
      <family val="2"/>
      <sz val="11"/>
    </font>
    <font>
      <name val="ＭＳ Ｐゴシック"/>
      <charset val="128"/>
      <family val="3"/>
      <color indexed="12"/>
      <sz val="11"/>
      <u val="single"/>
    </font>
    <font>
      <name val="Tahoma"/>
      <family val="2"/>
      <b val="1"/>
      <color indexed="12"/>
      <sz val="8"/>
      <u val="single"/>
    </font>
    <font>
      <name val="ＭＳ Ｐゴシック"/>
      <charset val="128"/>
      <family val="2"/>
      <sz val="11"/>
    </font>
    <font>
      <name val="Tahoma"/>
      <family val="2"/>
      <sz val="8"/>
    </font>
    <font>
      <name val="Tahoma"/>
      <family val="2"/>
      <b val="1"/>
      <sz val="8"/>
    </font>
    <font>
      <name val="Tahoma"/>
      <family val="2"/>
      <b val="1"/>
      <color indexed="9"/>
      <sz val="8"/>
    </font>
  </fonts>
  <fills count="5">
    <fill>
      <patternFill/>
    </fill>
    <fill>
      <patternFill patternType="gray125"/>
    </fill>
    <fill>
      <patternFill patternType="solid">
        <fgColor indexed="22"/>
        <bgColor indexed="55"/>
      </patternFill>
    </fill>
    <fill>
      <patternFill patternType="solid">
        <fgColor indexed="18"/>
        <bgColor indexed="32"/>
      </patternFill>
    </fill>
    <fill>
      <patternFill patternType="solid">
        <fgColor theme="0"/>
        <bgColor indexed="64"/>
      </patternFill>
    </fill>
  </fills>
  <borders count="2">
    <border>
      <left/>
      <right/>
      <top/>
      <bottom/>
      <diagonal/>
    </border>
    <border>
      <left style="hair">
        <color indexed="8"/>
      </left>
      <right style="hair">
        <color indexed="8"/>
      </right>
      <top style="hair">
        <color indexed="8"/>
      </top>
      <bottom style="hair">
        <color indexed="8"/>
      </bottom>
      <diagonal/>
    </border>
  </borders>
  <cellStyleXfs count="3">
    <xf numFmtId="0" fontId="3" fillId="0" borderId="0"/>
    <xf numFmtId="0" fontId="1" fillId="0" borderId="0"/>
    <xf numFmtId="0" fontId="3" fillId="0" borderId="0"/>
  </cellStyleXfs>
  <cellXfs count="16">
    <xf numFmtId="0" fontId="0" fillId="0" borderId="0" pivotButton="0" quotePrefix="0" xfId="0"/>
    <xf numFmtId="0" fontId="2" fillId="2" borderId="1" applyAlignment="1" pivotButton="0" quotePrefix="0" xfId="1">
      <alignment horizontal="left" vertical="top" wrapText="1"/>
    </xf>
    <xf numFmtId="0" fontId="4" fillId="2" borderId="1" applyAlignment="1" pivotButton="0" quotePrefix="0" xfId="0">
      <alignment horizontal="left" vertical="top" wrapText="1"/>
    </xf>
    <xf numFmtId="0" fontId="4" fillId="2" borderId="1" applyAlignment="1" pivotButton="0" quotePrefix="0" xfId="0">
      <alignment vertical="top" wrapText="1"/>
    </xf>
    <xf numFmtId="0" fontId="4" fillId="2" borderId="0" applyAlignment="1" pivotButton="0" quotePrefix="0" xfId="0">
      <alignment vertical="top" wrapText="1"/>
    </xf>
    <xf numFmtId="0" fontId="4" fillId="0" borderId="0" pivotButton="0" quotePrefix="0" xfId="0"/>
    <xf numFmtId="0" fontId="5" fillId="2" borderId="1" applyAlignment="1" pivotButton="0" quotePrefix="0" xfId="2">
      <alignment horizontal="left" vertical="top" wrapText="1"/>
    </xf>
    <xf numFmtId="0" fontId="4" fillId="2" borderId="1" applyAlignment="1" pivotButton="0" quotePrefix="0" xfId="2">
      <alignment horizontal="left" vertical="top" wrapText="1"/>
    </xf>
    <xf numFmtId="2" fontId="4" fillId="2" borderId="1" applyAlignment="1" pivotButton="0" quotePrefix="0" xfId="0">
      <alignment vertical="top" wrapText="1"/>
    </xf>
    <xf numFmtId="2" fontId="4" fillId="2" borderId="0" applyAlignment="1" pivotButton="0" quotePrefix="0" xfId="0">
      <alignment vertical="top" wrapText="1"/>
    </xf>
    <xf numFmtId="0" fontId="6" fillId="3" borderId="1" applyAlignment="1" pivotButton="0" quotePrefix="0" xfId="2">
      <alignment horizontal="center" vertical="center" wrapText="1"/>
    </xf>
    <xf numFmtId="0" fontId="4" fillId="4" borderId="1" applyAlignment="1" pivotButton="0" quotePrefix="0" xfId="0">
      <alignment vertical="top"/>
    </xf>
    <xf numFmtId="0" fontId="4" fillId="4" borderId="1" applyAlignment="1" pivotButton="0" quotePrefix="0" xfId="0">
      <alignment vertical="top" wrapText="1"/>
    </xf>
    <xf numFmtId="16" fontId="4" fillId="4" borderId="1" applyAlignment="1" pivotButton="0" quotePrefix="0" xfId="0">
      <alignment vertical="top"/>
    </xf>
    <xf numFmtId="0" fontId="4" fillId="4" borderId="0" pivotButton="0" quotePrefix="0" xfId="0"/>
    <xf numFmtId="0" fontId="4" fillId="4" borderId="1" applyAlignment="1" pivotButton="0" quotePrefix="1" xfId="0">
      <alignment vertical="top" wrapText="1"/>
    </xf>
  </cellXfs>
  <cellStyles count="3">
    <cellStyle name="Normal" xfId="0" builtinId="0"/>
    <cellStyle name="Hyperlink" xfId="1" builtinId="8"/>
    <cellStyle name="Normal_Sheet1"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C:\Users\ACER\Desktop\Sample_Test%20Cas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Cover"/>
      <sheetName val="Test report"/>
      <sheetName val="Hybrid"/>
      <sheetName val="Home page"/>
      <sheetName val="ER"/>
      <sheetName val="Find a Doctor"/>
      <sheetName val="MFM-Login"/>
      <sheetName val="MFM-ForgotPassword"/>
      <sheetName val="MFM-CreateAcct"/>
      <sheetName val="MFM-ChangePassword"/>
      <sheetName val="MFM-CreateProfile"/>
      <sheetName val="MFM-DashboardDeleteAcct"/>
      <sheetName val="MFM-ViewEditDeleteProfile"/>
      <sheetName val="ECH Resources"/>
      <sheetName val="ECH news"/>
      <sheetName val="Visiting ECH"/>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
  <sheetViews>
    <sheetView tabSelected="1" zoomScaleNormal="100" workbookViewId="0">
      <pane ySplit="4" topLeftCell="A5" activePane="bottomLeft" state="frozen"/>
      <selection pane="bottomLeft" activeCell="D16" sqref="D16"/>
    </sheetView>
  </sheetViews>
  <sheetFormatPr baseColWidth="8" defaultColWidth="9" defaultRowHeight="13.2"/>
  <cols>
    <col width="12" customWidth="1" style="5" min="1" max="1"/>
    <col width="40" bestFit="1" customWidth="1" style="5" min="2" max="2"/>
    <col width="30" customWidth="1" style="5" min="3" max="3"/>
    <col width="45" customWidth="1" style="5" min="4" max="4"/>
    <col width="45" customWidth="1" min="5" max="5"/>
    <col width="25" customWidth="1" min="6" max="6"/>
    <col width="12" customWidth="1" style="5" min="7" max="7"/>
    <col width="15" customWidth="1" style="5" min="8" max="8"/>
    <col width="25" customWidth="1" style="5" min="9" max="9"/>
    <col width="9" customWidth="1" style="5" min="10" max="16"/>
    <col width="9" customWidth="1" style="5" min="17" max="16384"/>
  </cols>
  <sheetData>
    <row r="1" ht="12.75" customHeight="1">
      <c r="A1" s="1" t="inlineStr">
        <is>
          <t>Back to TestReport</t>
        </is>
      </c>
      <c r="B1" s="1" t="inlineStr">
        <is>
          <t>To Buglist</t>
        </is>
      </c>
      <c r="C1" s="1" t="n"/>
      <c r="D1" s="2">
        <f>"Pass: "&amp;COUNTIF(#REF!,"Pass")</f>
        <v/>
      </c>
      <c r="E1" s="3">
        <f>"Untested: "&amp;COUNTIF(#REF!,"Untest")</f>
        <v/>
      </c>
      <c r="F1" s="3">
        <f>"Untested: "&amp;COUNTIF(#REF!,"Untest")</f>
        <v/>
      </c>
      <c r="G1" s="4" t="n"/>
    </row>
    <row r="2" ht="12.75" customHeight="1">
      <c r="A2" s="6" t="inlineStr">
        <is>
          <t>Module Code</t>
        </is>
      </c>
      <c r="B2" s="7" t="inlineStr">
        <is>
          <t>TimKiem</t>
        </is>
      </c>
      <c r="C2" s="7" t="n"/>
      <c r="D2" s="2">
        <f>"Fail: "&amp;COUNTIF(#REF!,"Fail")</f>
        <v/>
      </c>
      <c r="E2" s="3">
        <f>"N/A: "&amp;COUNTIF(#REF!,"N/A")</f>
        <v/>
      </c>
      <c r="F2" s="3">
        <f>"N/A: "&amp;COUNTIF(#REF!,"N/A")</f>
        <v/>
      </c>
      <c r="G2" s="4" t="n"/>
    </row>
    <row r="3" ht="12.75" customHeight="1">
      <c r="A3" s="6" t="inlineStr">
        <is>
          <t>Tester</t>
        </is>
      </c>
      <c r="B3" s="6" t="inlineStr">
        <is>
          <t>Lê Thị Ánh</t>
        </is>
      </c>
      <c r="C3" s="6" t="n"/>
      <c r="D3" s="2">
        <f>"Percent Complete: "&amp;ROUND((COUNTIF(#REF!,"Pass")*100)/((COUNTA($A$5:$A$973)*5)-COUNTIF(#REF!,"N/A")),2)&amp;"%"</f>
        <v/>
      </c>
      <c r="E3" s="8" t="inlineStr">
        <is>
          <t>Number of cases: 3</t>
        </is>
      </c>
      <c r="F3" s="8" t="inlineStr">
        <is>
          <t>Number of cases: 3</t>
        </is>
      </c>
      <c r="G3" s="9" t="n"/>
    </row>
    <row r="4" ht="28.35" customHeight="1">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ht="60" customFormat="1" customHeight="1" s="14">
      <c r="A5" s="12" t="inlineStr">
        <is>
          <t>TC_001</t>
        </is>
      </c>
      <c r="B5" s="12" t="inlineStr">
        <is>
          <t>Tìm kiếm sản phẩm với từ khóa hợp lệ</t>
        </is>
      </c>
      <c r="C5" s="15" t="inlineStr">
        <is>
          <t>Người dùng đang ở trang chủ</t>
        </is>
      </c>
      <c r="D5" s="12" t="inlineStr">
        <is>
          <t>Step 1: Nhập từ khóa tìm kiếm vào ô tìm kiếm
Step 2: Nhấn nút "Tìm kiếm"
Step 3: Kiểm tra danh sách sản phẩm hiển thị
Step 4: Kiểm tra các chi tiết sản phẩm trong danh sách</t>
        </is>
      </c>
      <c r="E5" s="12" t="inlineStr">
        <is>
          <t>Hệ thống kiểm tra từ khóa tìm kiếm thành công
Danh sách sản phẩm phù hợp với từ khóa được hiển thị
Mỗi sản phẩm trong danh sách có thông tin đầy đủ và đúng dữ liệu</t>
        </is>
      </c>
      <c r="F5" s="12" t="n"/>
      <c r="G5" s="12" t="n"/>
      <c r="H5" s="13" t="inlineStr">
        <is>
          <t>07/05/2026</t>
        </is>
      </c>
      <c r="I5" s="11" t="n"/>
    </row>
    <row r="6" ht="45" customHeight="1">
      <c r="A6" s="12" t="inlineStr">
        <is>
          <t>TC_002</t>
        </is>
      </c>
      <c r="B6" s="12" t="inlineStr">
        <is>
          <t>Tìm kiếm sản phẩm khi nhập không có từ khóa</t>
        </is>
      </c>
      <c r="C6" s="15" t="inlineStr">
        <is>
          <t>Người dùng đang ở trang chủ</t>
        </is>
      </c>
      <c r="D6" s="12" t="inlineStr">
        <is>
          <t>Step 1: Không nhập dữ liệu vào ô tìm kiếm
Step 2: Nhấn nút "Tìm kiếm"
Step 3: Kiểm tra danh sách sản phẩm hiển thị</t>
        </is>
      </c>
      <c r="E6" s="12" t="inlineStr">
        <is>
          <t>Hệ thống hiển thị toàn bộ danh sách sản phẩm trong cửa hàng</t>
        </is>
      </c>
      <c r="F6" s="12" t="n"/>
      <c r="G6" s="12" t="n"/>
      <c r="H6" s="13" t="inlineStr">
        <is>
          <t>07/05/2026</t>
        </is>
      </c>
      <c r="I6" s="11" t="n"/>
    </row>
    <row r="7" ht="45" customHeight="1">
      <c r="A7" s="12" t="inlineStr">
        <is>
          <t>TC_003</t>
        </is>
      </c>
      <c r="B7" s="12" t="inlineStr">
        <is>
          <t>Tìm kiếm sản phẩm khi không có kết quả phù hợp</t>
        </is>
      </c>
      <c r="C7" s="15" t="inlineStr">
        <is>
          <t>Người dùng đang ở trang chủ</t>
        </is>
      </c>
      <c r="D7" s="12" t="inlineStr">
        <is>
          <t>Step 1: Nhập từ khóa tìm kiếm không tồn tại vào ô tìm kiếm
Step 2: Nhấn nút "Tìm kiếm"
Step 3: Kiểm tra thông báo hiển thị</t>
        </is>
      </c>
      <c r="E7" s="12" t="inlineStr">
        <is>
          <t>Hệ thống hiển thị thông báo "Không tìm thấy sản phẩm nào khớp với lựa chọn của bạn."</t>
        </is>
      </c>
      <c r="F7" s="12" t="n"/>
      <c r="G7" s="12" t="n"/>
      <c r="H7" s="13" t="inlineStr">
        <is>
          <t>07/05/2026</t>
        </is>
      </c>
      <c r="I7" s="11" t="n"/>
    </row>
    <row r="8" ht="60" customHeight="1"/>
    <row r="9" ht="60" customHeight="1"/>
    <row r="10" ht="60" customHeight="1"/>
  </sheetData>
  <hyperlinks>
    <hyperlink ref="A1" location="'Test report'!A1" display="Back to TestReport"/>
    <hyperlink ref="B1" location="BugList!A1" display="To Buglist"/>
  </hyperlinks>
  <pageMargins left="0.7875" right="0.7875" top="1.052777777777778" bottom="1.052777777777778" header="0.7875" footer="0.7875"/>
  <pageSetup orientation="portrait" firstPageNumber="0" horizontalDpi="300" verticalDpi="300"/>
  <headerFooter alignWithMargins="0">
    <oddHeader>&amp;C&amp;"Times New Roman,Chuẩn"&amp;12 &amp;A</oddHeader>
    <oddFooter>&amp;C&amp;"Times New Roman,Chuẩn"&amp;12 Trang &amp;P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7"/>
  <sheetViews>
    <sheetView workbookViewId="0">
      <selection activeCell="A5" sqref="A5:XFD30"/>
    </sheetView>
  </sheetViews>
  <sheetFormatPr baseColWidth="8" defaultColWidth="9" defaultRowHeight="10.2"/>
  <cols>
    <col width="14.33203125" customWidth="1" style="5" min="1" max="1"/>
    <col width="18.5546875" bestFit="1" customWidth="1" style="5" min="2" max="2"/>
    <col width="22.109375" customWidth="1" style="5" min="3" max="3"/>
    <col width="40.33203125" customWidth="1" style="5" min="4" max="4"/>
    <col width="30.33203125" customWidth="1" style="5" min="5" max="6"/>
    <col width="9.6640625" customWidth="1" style="5" min="7" max="7"/>
    <col width="9" customWidth="1" style="5" min="8" max="8"/>
    <col width="17.21875" customWidth="1" style="5" min="9" max="9"/>
    <col width="9" customWidth="1" style="5" min="10" max="16"/>
    <col width="9" customWidth="1" style="5" min="17" max="16384"/>
  </cols>
  <sheetData>
    <row r="1" ht="12.75" customHeight="1">
      <c r="A1" s="1" t="inlineStr">
        <is>
          <t>Back to TestReport</t>
        </is>
      </c>
      <c r="B1" s="1" t="inlineStr">
        <is>
          <t>To Buglist</t>
        </is>
      </c>
      <c r="C1" s="1" t="n"/>
      <c r="D1" s="2">
        <f>"Pass: "&amp;COUNTIF(#REF!,"Pass")</f>
        <v/>
      </c>
      <c r="E1" s="3">
        <f>"Untested: "&amp;COUNTIF(#REF!,"Untest")</f>
        <v/>
      </c>
      <c r="F1" s="3">
        <f>"Untested: "&amp;COUNTIF(#REF!,"Untest")</f>
        <v/>
      </c>
      <c r="G1" s="4" t="n"/>
    </row>
    <row r="2" ht="12.75" customHeight="1">
      <c r="A2" s="6" t="inlineStr">
        <is>
          <t>Module Code</t>
        </is>
      </c>
      <c r="B2" s="7" t="n"/>
      <c r="C2" s="7" t="n"/>
      <c r="D2" s="2">
        <f>"Fail: "&amp;COUNTIF(#REF!,"Fail")</f>
        <v/>
      </c>
      <c r="E2" s="3">
        <f>"N/A: "&amp;COUNTIF(#REF!,"N/A")</f>
        <v/>
      </c>
      <c r="F2" s="3">
        <f>"N/A: "&amp;COUNTIF(#REF!,"N/A")</f>
        <v/>
      </c>
      <c r="G2" s="4" t="n"/>
    </row>
    <row r="3" ht="12.75" customHeight="1">
      <c r="A3" s="6" t="inlineStr">
        <is>
          <t>Tester</t>
        </is>
      </c>
      <c r="B3" s="6" t="inlineStr">
        <is>
          <t>Lê Thị Ánh</t>
        </is>
      </c>
      <c r="C3" s="6" t="n"/>
      <c r="D3" s="2">
        <f>"Percent Complete: "&amp;ROUND((COUNTIF(#REF!,"Pass")*100)/((COUNTA($A$5:$A$973)*5)-COUNTIF(#REF!,"N/A")),2)&amp;"%"</f>
        <v/>
      </c>
      <c r="E3" s="8">
        <f>"Number of cases: "&amp;(COUNTA($A$5:$A$973))</f>
        <v/>
      </c>
      <c r="F3" s="8">
        <f>"Number of cases: "&amp;(COUNTA($A$5:$A$973))</f>
        <v/>
      </c>
      <c r="G3" s="9" t="n"/>
    </row>
    <row r="4" ht="28.35" customHeight="1">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customFormat="1" s="14">
      <c r="A5" s="11" t="n"/>
      <c r="B5" s="11" t="n"/>
      <c r="C5" s="15" t="n"/>
      <c r="D5" s="12" t="n"/>
      <c r="E5" s="12" t="n"/>
      <c r="F5" s="12" t="n"/>
      <c r="G5" s="12" t="n"/>
      <c r="H5" s="13" t="n"/>
      <c r="I5" s="11" t="n"/>
    </row>
    <row r="6">
      <c r="A6" s="11" t="n"/>
      <c r="B6" s="12" t="n"/>
      <c r="C6" s="15" t="n"/>
      <c r="D6" s="12" t="n"/>
      <c r="E6" s="12" t="n"/>
      <c r="F6" s="12" t="n"/>
      <c r="G6" s="12" t="n"/>
      <c r="H6" s="13" t="n"/>
      <c r="I6" s="11" t="n"/>
    </row>
    <row r="7">
      <c r="A7" s="11" t="n"/>
      <c r="B7" s="12" t="n"/>
      <c r="C7" s="15" t="n"/>
      <c r="D7" s="12" t="n"/>
      <c r="E7" s="12" t="n"/>
      <c r="F7" s="12" t="n"/>
      <c r="G7" s="12" t="n"/>
      <c r="H7" s="13" t="n"/>
      <c r="I7" s="11" t="n"/>
    </row>
    <row r="8" customFormat="1" s="14">
      <c r="A8" s="11" t="n"/>
      <c r="B8" s="12" t="n"/>
      <c r="C8" s="15" t="n"/>
      <c r="D8" s="12" t="n"/>
      <c r="E8" s="12" t="n"/>
      <c r="F8" s="12" t="n"/>
      <c r="G8" s="12" t="n"/>
      <c r="H8" s="13" t="n"/>
      <c r="I8" s="11" t="n"/>
    </row>
    <row r="9">
      <c r="A9" s="11" t="n"/>
      <c r="B9" s="12" t="n"/>
      <c r="C9" s="15" t="n"/>
      <c r="D9" s="12" t="n"/>
      <c r="E9" s="12" t="n"/>
      <c r="F9" s="12" t="n"/>
      <c r="G9" s="12" t="n"/>
      <c r="H9" s="13" t="n"/>
      <c r="I9" s="11" t="n"/>
    </row>
    <row r="10">
      <c r="A10" s="11" t="n"/>
      <c r="B10" s="12" t="n"/>
      <c r="C10" s="15" t="n"/>
      <c r="D10" s="12" t="n"/>
      <c r="E10" s="12" t="n"/>
      <c r="F10" s="12" t="n"/>
      <c r="G10" s="12" t="n"/>
      <c r="H10" s="13" t="n"/>
      <c r="I10" s="11" t="n"/>
    </row>
    <row r="11" customFormat="1" s="14">
      <c r="A11" s="11" t="n"/>
      <c r="B11" s="12" t="n"/>
      <c r="C11" s="15" t="n"/>
      <c r="D11" s="12" t="n"/>
      <c r="E11" s="12" t="n"/>
      <c r="F11" s="12" t="n"/>
      <c r="G11" s="12" t="n"/>
      <c r="H11" s="13" t="n"/>
      <c r="I11" s="11" t="n"/>
    </row>
    <row r="12">
      <c r="A12" s="11" t="n"/>
      <c r="B12" s="12" t="n"/>
      <c r="C12" s="15" t="n"/>
      <c r="D12" s="12" t="n"/>
      <c r="E12" s="12" t="n"/>
      <c r="F12" s="12" t="n"/>
      <c r="G12" s="12" t="n"/>
      <c r="H12" s="13" t="n"/>
      <c r="I12" s="11" t="n"/>
    </row>
    <row r="13">
      <c r="A13" s="11" t="n"/>
      <c r="B13" s="12" t="n"/>
      <c r="C13" s="15" t="n"/>
      <c r="D13" s="12" t="n"/>
      <c r="E13" s="12" t="n"/>
      <c r="F13" s="12" t="n"/>
      <c r="G13" s="12" t="n"/>
      <c r="H13" s="13" t="n"/>
      <c r="I13" s="11" t="n"/>
    </row>
    <row r="14">
      <c r="A14" s="11" t="n"/>
      <c r="B14" s="12" t="n"/>
      <c r="C14" s="15" t="n"/>
      <c r="D14" s="12" t="n"/>
      <c r="E14" s="12" t="n"/>
      <c r="F14" s="12" t="n"/>
      <c r="G14" s="12" t="n"/>
      <c r="H14" s="13" t="n"/>
      <c r="I14" s="11" t="n"/>
    </row>
    <row r="15">
      <c r="A15" s="11" t="n"/>
      <c r="B15" s="12" t="n"/>
      <c r="C15" s="15" t="n"/>
      <c r="D15" s="12" t="n"/>
      <c r="E15" s="12" t="n"/>
      <c r="F15" s="12" t="n"/>
      <c r="G15" s="12" t="n"/>
      <c r="H15" s="13" t="n"/>
      <c r="I15" s="11" t="n"/>
    </row>
    <row r="16">
      <c r="A16" s="11" t="n"/>
      <c r="B16" s="12" t="n"/>
      <c r="C16" s="15" t="n"/>
      <c r="D16" s="12" t="n"/>
      <c r="E16" s="12" t="n"/>
      <c r="F16" s="12" t="n"/>
      <c r="G16" s="12" t="n"/>
      <c r="H16" s="13" t="n"/>
      <c r="I16" s="11" t="n"/>
    </row>
    <row r="17">
      <c r="A17" s="11" t="n"/>
      <c r="B17" s="12" t="n"/>
      <c r="C17" s="15" t="n"/>
      <c r="D17" s="12" t="n"/>
      <c r="E17" s="12" t="n"/>
      <c r="F17" s="12" t="n"/>
      <c r="G17" s="12" t="n"/>
      <c r="H17" s="13" t="n"/>
      <c r="I17" s="11" t="n"/>
    </row>
  </sheetData>
  <hyperlinks>
    <hyperlink ref="A1" location="'Test report'!A1" display="Back to TestReport"/>
    <hyperlink ref="B1" location="BugList!A1" display="To Buglist"/>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C23" sqref="C23"/>
    </sheetView>
  </sheetViews>
  <sheetFormatPr baseColWidth="8" defaultColWidth="9" defaultRowHeight="10.2"/>
  <cols>
    <col width="14.33203125" customWidth="1" style="5" min="1" max="1"/>
    <col width="18.5546875" bestFit="1" customWidth="1" style="5" min="2" max="2"/>
    <col width="22.109375" customWidth="1" style="5" min="3" max="3"/>
    <col width="40.33203125" customWidth="1" style="5" min="4" max="4"/>
    <col width="30.33203125" customWidth="1" style="5" min="5" max="6"/>
    <col width="9.6640625" customWidth="1" style="5" min="7" max="7"/>
    <col width="9" customWidth="1" style="5" min="8" max="8"/>
    <col width="17.21875" customWidth="1" style="5" min="9" max="9"/>
    <col width="9" customWidth="1" style="5" min="10" max="16"/>
    <col width="9" customWidth="1" style="5" min="17" max="16384"/>
  </cols>
  <sheetData>
    <row r="1" ht="12.75" customHeight="1">
      <c r="A1" s="1" t="inlineStr">
        <is>
          <t>Back to TestReport</t>
        </is>
      </c>
      <c r="B1" s="1" t="inlineStr">
        <is>
          <t>To Buglist</t>
        </is>
      </c>
      <c r="C1" s="1" t="n"/>
      <c r="D1" s="2">
        <f>"Pass: "&amp;COUNTIF(#REF!,"Pass")</f>
        <v/>
      </c>
      <c r="E1" s="3">
        <f>"Untested: "&amp;COUNTIF(#REF!,"Untest")</f>
        <v/>
      </c>
      <c r="F1" s="3">
        <f>"Untested: "&amp;COUNTIF(#REF!,"Untest")</f>
        <v/>
      </c>
      <c r="G1" s="4" t="n"/>
    </row>
    <row r="2" ht="12.75" customHeight="1">
      <c r="A2" s="6" t="inlineStr">
        <is>
          <t>Module Code</t>
        </is>
      </c>
      <c r="B2" s="7" t="n"/>
      <c r="C2" s="7" t="n"/>
      <c r="D2" s="2">
        <f>"Fail: "&amp;COUNTIF(#REF!,"Fail")</f>
        <v/>
      </c>
      <c r="E2" s="3">
        <f>"N/A: "&amp;COUNTIF(#REF!,"N/A")</f>
        <v/>
      </c>
      <c r="F2" s="3">
        <f>"N/A: "&amp;COUNTIF(#REF!,"N/A")</f>
        <v/>
      </c>
      <c r="G2" s="4" t="n"/>
    </row>
    <row r="3" ht="12.75" customHeight="1">
      <c r="A3" s="6" t="inlineStr">
        <is>
          <t>Tester</t>
        </is>
      </c>
      <c r="B3" s="6" t="inlineStr">
        <is>
          <t>Lê Thị Ánh</t>
        </is>
      </c>
      <c r="C3" s="6" t="n"/>
      <c r="D3" s="2">
        <f>"Percent Complete: "&amp;ROUND((COUNTIF(#REF!,"Pass")*100)/((COUNTA($A$5:$A$971)*5)-COUNTIF(#REF!,"N/A")),2)&amp;"%"</f>
        <v/>
      </c>
      <c r="E3" s="8">
        <f>"Number of cases: "&amp;(COUNTA($A$5:$A$971))</f>
        <v/>
      </c>
      <c r="F3" s="8">
        <f>"Number of cases: "&amp;(COUNTA($A$5:$A$971))</f>
        <v/>
      </c>
      <c r="G3" s="9" t="n"/>
    </row>
    <row r="4" ht="28.35" customHeight="1">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customFormat="1" s="14">
      <c r="A5" s="11" t="n"/>
      <c r="B5" s="11" t="n"/>
      <c r="C5" s="15" t="n"/>
      <c r="D5" s="12" t="n"/>
      <c r="E5" s="12" t="n"/>
      <c r="F5" s="12" t="n"/>
      <c r="G5" s="12" t="n"/>
      <c r="H5" s="13" t="n"/>
      <c r="I5" s="11" t="n"/>
    </row>
    <row r="6">
      <c r="A6" s="11" t="n"/>
      <c r="B6" s="12" t="n"/>
      <c r="C6" s="15" t="n"/>
      <c r="D6" s="12" t="n"/>
      <c r="E6" s="12" t="n"/>
      <c r="F6" s="12" t="n"/>
      <c r="G6" s="12" t="n"/>
      <c r="H6" s="13" t="n"/>
      <c r="I6" s="11" t="n"/>
    </row>
    <row r="7">
      <c r="A7" s="11" t="n"/>
      <c r="B7" s="12" t="n"/>
      <c r="C7" s="15" t="n"/>
      <c r="D7" s="12" t="n"/>
      <c r="E7" s="12" t="n"/>
      <c r="F7" s="12" t="n"/>
      <c r="G7" s="12" t="n"/>
      <c r="H7" s="13" t="n"/>
      <c r="I7" s="11" t="n"/>
    </row>
    <row r="8" customFormat="1" s="14">
      <c r="A8" s="11" t="n"/>
      <c r="B8" s="12" t="n"/>
      <c r="C8" s="15" t="n"/>
      <c r="D8" s="12" t="n"/>
      <c r="E8" s="12" t="n"/>
      <c r="F8" s="12" t="n"/>
      <c r="G8" s="12" t="n"/>
      <c r="H8" s="13" t="n"/>
      <c r="I8" s="11" t="n"/>
    </row>
    <row r="9">
      <c r="A9" s="11" t="n"/>
      <c r="B9" s="12" t="n"/>
      <c r="C9" s="15" t="n"/>
      <c r="D9" s="12" t="n"/>
      <c r="E9" s="12" t="n"/>
      <c r="F9" s="12" t="n"/>
      <c r="G9" s="12" t="n"/>
      <c r="H9" s="13" t="n"/>
      <c r="I9" s="11" t="n"/>
    </row>
    <row r="10" customFormat="1" s="14">
      <c r="A10" s="11" t="n"/>
      <c r="B10" s="12" t="n"/>
      <c r="C10" s="15" t="n"/>
      <c r="D10" s="12" t="n"/>
      <c r="E10" s="12" t="n"/>
      <c r="F10" s="12" t="n"/>
      <c r="G10" s="12" t="n"/>
      <c r="H10" s="13" t="n"/>
      <c r="I10" s="11" t="n"/>
    </row>
    <row r="11">
      <c r="A11" s="11" t="n"/>
      <c r="B11" s="12" t="n"/>
      <c r="C11" s="15" t="n"/>
      <c r="D11" s="12" t="n"/>
      <c r="E11" s="12" t="n"/>
      <c r="F11" s="12" t="n"/>
      <c r="G11" s="12" t="n"/>
      <c r="H11" s="13" t="n"/>
      <c r="I11" s="11" t="n"/>
    </row>
    <row r="12">
      <c r="A12" s="11" t="n"/>
      <c r="B12" s="12" t="n"/>
      <c r="C12" s="15" t="n"/>
      <c r="D12" s="12" t="n"/>
      <c r="E12" s="12" t="n"/>
      <c r="F12" s="12" t="n"/>
      <c r="G12" s="12" t="n"/>
      <c r="H12" s="13" t="n"/>
      <c r="I12" s="11" t="n"/>
    </row>
    <row r="13">
      <c r="A13" s="11" t="n"/>
      <c r="B13" s="12" t="n"/>
      <c r="C13" s="15" t="n"/>
      <c r="D13" s="12" t="n"/>
      <c r="E13" s="12" t="n"/>
      <c r="F13" s="12" t="n"/>
      <c r="G13" s="12" t="n"/>
      <c r="H13" s="13" t="n"/>
      <c r="I13" s="11" t="n"/>
    </row>
    <row r="14">
      <c r="A14" s="11" t="n"/>
      <c r="B14" s="12" t="n"/>
      <c r="C14" s="15" t="n"/>
      <c r="D14" s="12" t="n"/>
      <c r="E14" s="12" t="n"/>
      <c r="F14" s="12" t="n"/>
      <c r="G14" s="12" t="n"/>
      <c r="H14" s="13" t="n"/>
      <c r="I14" s="11" t="n"/>
    </row>
    <row r="15">
      <c r="A15" s="11" t="n"/>
      <c r="B15" s="12" t="n"/>
      <c r="C15" s="15" t="n"/>
      <c r="D15" s="12" t="n"/>
      <c r="E15" s="12" t="n"/>
      <c r="F15" s="12" t="n"/>
      <c r="G15" s="12" t="n"/>
      <c r="H15" s="13" t="n"/>
      <c r="I15" s="11" t="n"/>
    </row>
  </sheetData>
  <hyperlinks>
    <hyperlink ref="A1" location="'Test report'!A1" display="Back to TestReport"/>
    <hyperlink ref="B1" location="BugList!A1" display="To Buglist"/>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5"/>
  <sheetViews>
    <sheetView zoomScale="87" workbookViewId="0">
      <selection activeCell="D23" sqref="D23"/>
    </sheetView>
  </sheetViews>
  <sheetFormatPr baseColWidth="8" defaultColWidth="9" defaultRowHeight="10.2"/>
  <cols>
    <col width="14.33203125" customWidth="1" style="5" min="1" max="1"/>
    <col width="18.5546875" bestFit="1" customWidth="1" style="5" min="2" max="2"/>
    <col width="22.109375" customWidth="1" style="5" min="3" max="3"/>
    <col width="40.33203125" customWidth="1" style="5" min="4" max="4"/>
    <col width="30.33203125" customWidth="1" style="5" min="5" max="6"/>
    <col width="9.6640625" customWidth="1" style="5" min="7" max="7"/>
    <col width="9" customWidth="1" style="5" min="8" max="8"/>
    <col width="17.21875" customWidth="1" style="5" min="9" max="9"/>
    <col width="9" customWidth="1" style="5" min="10" max="16"/>
    <col width="9" customWidth="1" style="5" min="17" max="16384"/>
  </cols>
  <sheetData>
    <row r="1" ht="12.75" customHeight="1">
      <c r="A1" s="1" t="inlineStr">
        <is>
          <t>Back to TestReport</t>
        </is>
      </c>
      <c r="B1" s="1" t="inlineStr">
        <is>
          <t>To Buglist</t>
        </is>
      </c>
      <c r="C1" s="1" t="n"/>
      <c r="D1" s="2">
        <f>"Pass: "&amp;COUNTIF(#REF!,"Pass")</f>
        <v/>
      </c>
      <c r="E1" s="3">
        <f>"Untested: "&amp;COUNTIF(#REF!,"Untest")</f>
        <v/>
      </c>
      <c r="F1" s="3">
        <f>"Untested: "&amp;COUNTIF(#REF!,"Untest")</f>
        <v/>
      </c>
      <c r="G1" s="4" t="n"/>
    </row>
    <row r="2" ht="12.75" customHeight="1">
      <c r="A2" s="6" t="inlineStr">
        <is>
          <t>Module Code</t>
        </is>
      </c>
      <c r="B2" s="7" t="n"/>
      <c r="C2" s="7" t="n"/>
      <c r="D2" s="2">
        <f>"Fail: "&amp;COUNTIF(#REF!,"Fail")</f>
        <v/>
      </c>
      <c r="E2" s="3">
        <f>"N/A: "&amp;COUNTIF(#REF!,"N/A")</f>
        <v/>
      </c>
      <c r="F2" s="3">
        <f>"N/A: "&amp;COUNTIF(#REF!,"N/A")</f>
        <v/>
      </c>
      <c r="G2" s="4" t="n"/>
    </row>
    <row r="3" ht="12.75" customHeight="1">
      <c r="A3" s="6" t="inlineStr">
        <is>
          <t>Tester</t>
        </is>
      </c>
      <c r="B3" s="6" t="inlineStr">
        <is>
          <t>Lê Thị Ánh</t>
        </is>
      </c>
      <c r="C3" s="6" t="n"/>
      <c r="D3" s="2">
        <f>"Percent Complete: "&amp;ROUND((COUNTIF(#REF!,"Pass")*100)/((COUNTA($A$5:$A$971)*5)-COUNTIF(#REF!,"N/A")),2)&amp;"%"</f>
        <v/>
      </c>
      <c r="E3" s="8">
        <f>"Number of cases: "&amp;(COUNTA($A$5:$A$971))</f>
        <v/>
      </c>
      <c r="F3" s="8">
        <f>"Number of cases: "&amp;(COUNTA($A$5:$A$971))</f>
        <v/>
      </c>
      <c r="G3" s="9" t="n"/>
    </row>
    <row r="4" ht="28.35" customHeight="1">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customFormat="1" s="14">
      <c r="A5" s="11" t="n"/>
      <c r="B5" s="11" t="n"/>
      <c r="C5" s="15" t="n"/>
      <c r="D5" s="12" t="n"/>
      <c r="E5" s="12" t="n"/>
      <c r="F5" s="12" t="n"/>
      <c r="G5" s="12" t="n"/>
      <c r="H5" s="13" t="n"/>
      <c r="I5" s="11" t="n"/>
    </row>
    <row r="6">
      <c r="A6" s="11" t="n"/>
      <c r="B6" s="12" t="n"/>
      <c r="C6" s="15" t="n"/>
      <c r="D6" s="12" t="n"/>
      <c r="E6" s="12" t="n"/>
      <c r="F6" s="12" t="n"/>
      <c r="G6" s="12" t="n"/>
      <c r="H6" s="13" t="n"/>
      <c r="I6" s="11" t="n"/>
    </row>
    <row r="7">
      <c r="A7" s="11" t="n"/>
      <c r="B7" s="12" t="n"/>
      <c r="C7" s="15" t="n"/>
      <c r="D7" s="12" t="n"/>
      <c r="E7" s="12" t="n"/>
      <c r="F7" s="12" t="n"/>
      <c r="G7" s="12" t="n"/>
      <c r="H7" s="13" t="n"/>
      <c r="I7" s="11" t="n"/>
    </row>
    <row r="8" customFormat="1" s="14">
      <c r="A8" s="11" t="n"/>
      <c r="B8" s="12" t="n"/>
      <c r="C8" s="15" t="n"/>
      <c r="D8" s="12" t="n"/>
      <c r="E8" s="12" t="n"/>
      <c r="F8" s="12" t="n"/>
      <c r="G8" s="12" t="n"/>
      <c r="H8" s="13" t="n"/>
      <c r="I8" s="11" t="n"/>
    </row>
    <row r="9">
      <c r="A9" s="11" t="n"/>
      <c r="B9" s="12" t="n"/>
      <c r="C9" s="15" t="n"/>
      <c r="D9" s="12" t="n"/>
      <c r="E9" s="12" t="n"/>
      <c r="F9" s="12" t="n"/>
      <c r="G9" s="12" t="n"/>
      <c r="H9" s="13" t="n"/>
      <c r="I9" s="11" t="n"/>
    </row>
    <row r="10" customFormat="1" s="14">
      <c r="A10" s="11" t="n"/>
      <c r="B10" s="12" t="n"/>
      <c r="C10" s="15" t="n"/>
      <c r="D10" s="12" t="n"/>
      <c r="E10" s="12" t="n"/>
      <c r="F10" s="12" t="n"/>
      <c r="G10" s="12" t="n"/>
      <c r="H10" s="13" t="n"/>
      <c r="I10" s="11" t="n"/>
    </row>
    <row r="11">
      <c r="A11" s="11" t="n"/>
      <c r="B11" s="12" t="n"/>
      <c r="C11" s="15" t="n"/>
      <c r="D11" s="12" t="n"/>
      <c r="E11" s="12" t="n"/>
      <c r="F11" s="12" t="n"/>
      <c r="G11" s="12" t="n"/>
      <c r="H11" s="13" t="n"/>
      <c r="I11" s="11" t="n"/>
    </row>
    <row r="12">
      <c r="A12" s="11" t="n"/>
      <c r="B12" s="12" t="n"/>
      <c r="C12" s="15" t="n"/>
      <c r="D12" s="12" t="n"/>
      <c r="E12" s="12" t="n"/>
      <c r="F12" s="12" t="n"/>
      <c r="G12" s="12" t="n"/>
      <c r="H12" s="13" t="n"/>
      <c r="I12" s="11" t="n"/>
    </row>
    <row r="13">
      <c r="A13" s="11" t="n"/>
      <c r="B13" s="12" t="n"/>
      <c r="C13" s="15" t="n"/>
      <c r="D13" s="12" t="n"/>
      <c r="E13" s="12" t="n"/>
      <c r="F13" s="12" t="n"/>
      <c r="G13" s="12" t="n"/>
      <c r="H13" s="13" t="n"/>
      <c r="I13" s="11" t="n"/>
    </row>
    <row r="14">
      <c r="A14" s="11" t="n"/>
      <c r="B14" s="12" t="n"/>
      <c r="C14" s="15" t="n"/>
      <c r="D14" s="12" t="n"/>
      <c r="E14" s="12" t="n"/>
      <c r="F14" s="12" t="n"/>
      <c r="G14" s="12" t="n"/>
      <c r="H14" s="13" t="n"/>
      <c r="I14" s="11" t="n"/>
    </row>
    <row r="15">
      <c r="A15" s="11" t="n"/>
      <c r="B15" s="12" t="n"/>
      <c r="C15" s="15" t="n"/>
      <c r="D15" s="12" t="n"/>
      <c r="E15" s="12" t="n"/>
      <c r="F15" s="12" t="n"/>
      <c r="G15" s="12" t="n"/>
      <c r="H15" s="13" t="n"/>
      <c r="I15" s="11" t="n"/>
    </row>
  </sheetData>
  <hyperlinks>
    <hyperlink ref="A1" location="'Test report'!A1" display="Back to TestReport"/>
    <hyperlink ref="B1" location="BugList!A1" display="To Buglist"/>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ACER</dc:creator>
  <dcterms:created xsi:type="dcterms:W3CDTF">2024-05-03T07:38:53Z</dcterms:created>
  <dcterms:modified xsi:type="dcterms:W3CDTF">2026-05-07T08:57:03Z</dcterms:modified>
  <cp:lastModifiedBy>Thị Ánh Lê</cp:lastModifiedBy>
</cp:coreProperties>
</file>